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vitalij/ITMO_education/mathematical-statistics/"/>
    </mc:Choice>
  </mc:AlternateContent>
  <xr:revisionPtr revIDLastSave="0" documentId="13_ncr:1_{CE7167A1-09BC-FA47-8E98-88DEDD10010E}" xr6:coauthVersionLast="47" xr6:coauthVersionMax="47" xr10:uidLastSave="{00000000-0000-0000-0000-000000000000}"/>
  <bookViews>
    <workbookView xWindow="0" yWindow="720" windowWidth="29400" windowHeight="18400" activeTab="15" xr2:uid="{27DAB6A4-EFE9-A143-8161-E295A53CCF1E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</sheets>
  <externalReferences>
    <externalReference r:id="rId1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6" l="1"/>
  <c r="D18" i="16"/>
  <c r="D23" i="16" s="1"/>
  <c r="C18" i="16"/>
  <c r="B18" i="16"/>
  <c r="I10" i="16"/>
  <c r="H10" i="16"/>
  <c r="G10" i="16"/>
  <c r="F10" i="16"/>
  <c r="E10" i="16"/>
  <c r="D10" i="16"/>
  <c r="C10" i="16"/>
  <c r="B10" i="16"/>
  <c r="A10" i="16"/>
  <c r="A2" i="16" a="1"/>
  <c r="A2" i="16" s="1"/>
  <c r="A3" i="15"/>
  <c r="J20" i="2"/>
  <c r="K18" i="4" s="1"/>
  <c r="M18" i="4" s="1"/>
  <c r="N18" i="4" s="1"/>
  <c r="B14" i="10"/>
  <c r="M3" i="10"/>
  <c r="J11" i="2"/>
  <c r="K9" i="4" s="1"/>
  <c r="J12" i="2"/>
  <c r="K10" i="4" s="1"/>
  <c r="M10" i="4" s="1"/>
  <c r="N10" i="4" s="1"/>
  <c r="J13" i="2"/>
  <c r="K11" i="4" s="1"/>
  <c r="M11" i="4" s="1"/>
  <c r="N11" i="4" s="1"/>
  <c r="J14" i="2"/>
  <c r="J15" i="2"/>
  <c r="K13" i="4" s="1"/>
  <c r="M13" i="4" s="1"/>
  <c r="N13" i="4" s="1"/>
  <c r="J16" i="2"/>
  <c r="J17" i="2"/>
  <c r="J18" i="2"/>
  <c r="J19" i="2"/>
  <c r="K17" i="4" s="1"/>
  <c r="M17" i="4" s="1"/>
  <c r="N17" i="4" s="1"/>
  <c r="K12" i="4"/>
  <c r="M12" i="4" s="1"/>
  <c r="N12" i="4" s="1"/>
  <c r="K14" i="4"/>
  <c r="M14" i="4" s="1"/>
  <c r="N14" i="4" s="1"/>
  <c r="K15" i="4"/>
  <c r="M15" i="4" s="1"/>
  <c r="N15" i="4" s="1"/>
  <c r="K16" i="4"/>
  <c r="M16" i="4" s="1"/>
  <c r="N16" i="4" s="1"/>
  <c r="E11" i="2" a="1"/>
  <c r="E11" i="2" s="1"/>
  <c r="H3" i="7" s="1"/>
  <c r="D20" i="7" s="1"/>
  <c r="D7" i="13" a="1"/>
  <c r="D7" i="13" s="1"/>
  <c r="A18" i="13"/>
  <c r="A10" i="14" a="1"/>
  <c r="A10" i="14" s="1"/>
  <c r="B4" i="14"/>
  <c r="B2" i="14"/>
  <c r="A4" i="14"/>
  <c r="A2" i="14"/>
  <c r="A10" i="13"/>
  <c r="A11" i="13"/>
  <c r="A12" i="13"/>
  <c r="A13" i="13"/>
  <c r="A14" i="13"/>
  <c r="A15" i="13"/>
  <c r="A16" i="13"/>
  <c r="A17" i="13"/>
  <c r="A9" i="13"/>
  <c r="E2" i="12"/>
  <c r="D5" i="10" a="1"/>
  <c r="D5" i="10" s="1"/>
  <c r="D27" i="10" s="1"/>
  <c r="D3" i="11" a="1"/>
  <c r="D3" i="11" s="1"/>
  <c r="D25" i="10" a="1"/>
  <c r="D25" i="10" s="1"/>
  <c r="A6" i="11"/>
  <c r="A7" i="11"/>
  <c r="A8" i="11"/>
  <c r="A9" i="11"/>
  <c r="A10" i="11"/>
  <c r="A11" i="11"/>
  <c r="A12" i="11"/>
  <c r="A13" i="11"/>
  <c r="A14" i="11"/>
  <c r="A5" i="11"/>
  <c r="A27" i="10"/>
  <c r="A28" i="10"/>
  <c r="A29" i="10"/>
  <c r="A30" i="10"/>
  <c r="A31" i="10"/>
  <c r="A32" i="10"/>
  <c r="A33" i="10"/>
  <c r="A34" i="10"/>
  <c r="A35" i="10"/>
  <c r="A36" i="10"/>
  <c r="M2" i="10"/>
  <c r="D2" i="10" a="1"/>
  <c r="D2" i="10" s="1"/>
  <c r="B6" i="10"/>
  <c r="B7" i="10"/>
  <c r="B8" i="10"/>
  <c r="B9" i="10"/>
  <c r="B10" i="10"/>
  <c r="B11" i="10"/>
  <c r="B12" i="10"/>
  <c r="B13" i="10"/>
  <c r="B5" i="10"/>
  <c r="A6" i="10"/>
  <c r="A7" i="10"/>
  <c r="A8" i="10"/>
  <c r="A9" i="10"/>
  <c r="A10" i="10"/>
  <c r="A11" i="10"/>
  <c r="A12" i="10"/>
  <c r="A13" i="10"/>
  <c r="A14" i="10"/>
  <c r="A5" i="10"/>
  <c r="E5" i="8"/>
  <c r="E4" i="8"/>
  <c r="E3" i="8"/>
  <c r="E2" i="8"/>
  <c r="E17" i="8"/>
  <c r="E12" i="8"/>
  <c r="E11" i="8"/>
  <c r="E1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2" i="8"/>
  <c r="B29" i="7"/>
  <c r="H4" i="7"/>
  <c r="H5" i="7"/>
  <c r="D21" i="7" s="1"/>
  <c r="H6" i="7"/>
  <c r="D22" i="7" s="1"/>
  <c r="H7" i="7"/>
  <c r="D23" i="7" s="1"/>
  <c r="H8" i="7"/>
  <c r="D24" i="7" s="1"/>
  <c r="H9" i="7"/>
  <c r="D25" i="7" s="1"/>
  <c r="H10" i="7"/>
  <c r="H11" i="7"/>
  <c r="H12" i="7"/>
  <c r="F3" i="7"/>
  <c r="G3" i="7" s="1"/>
  <c r="F4" i="7" s="1"/>
  <c r="G4" i="7" s="1"/>
  <c r="C20" i="7" s="1"/>
  <c r="C11" i="2"/>
  <c r="K25" i="4"/>
  <c r="E32" i="6"/>
  <c r="E25" i="6"/>
  <c r="E24" i="6"/>
  <c r="E31" i="6"/>
  <c r="E18" i="6"/>
  <c r="E12" i="6"/>
  <c r="F13" i="6" s="1"/>
  <c r="D7" i="5"/>
  <c r="D6" i="5"/>
  <c r="D5" i="5"/>
  <c r="D4" i="5"/>
  <c r="D3" i="5"/>
  <c r="B7" i="5"/>
  <c r="B6" i="5"/>
  <c r="B5" i="5"/>
  <c r="B4" i="5"/>
  <c r="B3" i="5"/>
  <c r="L11" i="4"/>
  <c r="L12" i="4"/>
  <c r="L13" i="4"/>
  <c r="L14" i="4"/>
  <c r="L15" i="4"/>
  <c r="L16" i="4"/>
  <c r="L17" i="4"/>
  <c r="L18" i="4"/>
  <c r="L10" i="4"/>
  <c r="L9" i="4"/>
  <c r="E2" i="1" a="1"/>
  <c r="E2" i="1" s="1"/>
  <c r="D2" i="1" a="1"/>
  <c r="D2" i="1" s="1"/>
  <c r="B23" i="16" l="1"/>
  <c r="A23" i="16"/>
  <c r="C23" i="16"/>
  <c r="E18" i="16"/>
  <c r="F18" i="16"/>
  <c r="D17" i="13"/>
  <c r="F17" i="13"/>
  <c r="H15" i="13"/>
  <c r="J13" i="13"/>
  <c r="L11" i="13"/>
  <c r="M10" i="13"/>
  <c r="F9" i="13"/>
  <c r="D16" i="13"/>
  <c r="D9" i="13"/>
  <c r="D11" i="13"/>
  <c r="G18" i="13"/>
  <c r="H17" i="13"/>
  <c r="I16" i="13"/>
  <c r="J15" i="13"/>
  <c r="K14" i="13"/>
  <c r="L13" i="13"/>
  <c r="M12" i="13"/>
  <c r="E12" i="13"/>
  <c r="F11" i="13"/>
  <c r="G10" i="13"/>
  <c r="H9" i="13"/>
  <c r="D18" i="13"/>
  <c r="D10" i="13"/>
  <c r="F18" i="13"/>
  <c r="G17" i="13"/>
  <c r="H16" i="13"/>
  <c r="I15" i="13"/>
  <c r="J14" i="13"/>
  <c r="K13" i="13"/>
  <c r="L12" i="13"/>
  <c r="M11" i="13"/>
  <c r="E11" i="13"/>
  <c r="F10" i="13"/>
  <c r="G9" i="13"/>
  <c r="D15" i="13"/>
  <c r="F15" i="13"/>
  <c r="G14" i="13"/>
  <c r="J11" i="13"/>
  <c r="K10" i="13"/>
  <c r="L9" i="13"/>
  <c r="M18" i="13"/>
  <c r="L18" i="13"/>
  <c r="E17" i="13"/>
  <c r="G15" i="13"/>
  <c r="I13" i="13"/>
  <c r="K11" i="13"/>
  <c r="E9" i="13"/>
  <c r="L17" i="13"/>
  <c r="E16" i="13"/>
  <c r="I12" i="13"/>
  <c r="D14" i="13"/>
  <c r="J18" i="13"/>
  <c r="K17" i="13"/>
  <c r="L16" i="13"/>
  <c r="M15" i="13"/>
  <c r="E15" i="13"/>
  <c r="F14" i="13"/>
  <c r="G13" i="13"/>
  <c r="H12" i="13"/>
  <c r="I11" i="13"/>
  <c r="J10" i="13"/>
  <c r="K9" i="13"/>
  <c r="E18" i="13"/>
  <c r="G16" i="13"/>
  <c r="I14" i="13"/>
  <c r="K12" i="13"/>
  <c r="E10" i="13"/>
  <c r="M17" i="13"/>
  <c r="F16" i="13"/>
  <c r="H14" i="13"/>
  <c r="J12" i="13"/>
  <c r="L10" i="13"/>
  <c r="M9" i="13"/>
  <c r="K18" i="13"/>
  <c r="M16" i="13"/>
  <c r="H13" i="13"/>
  <c r="D13" i="13"/>
  <c r="I18" i="13"/>
  <c r="J17" i="13"/>
  <c r="K16" i="13"/>
  <c r="L15" i="13"/>
  <c r="M14" i="13"/>
  <c r="E14" i="13"/>
  <c r="F13" i="13"/>
  <c r="G12" i="13"/>
  <c r="H11" i="13"/>
  <c r="I10" i="13"/>
  <c r="J9" i="13"/>
  <c r="D12" i="13"/>
  <c r="H18" i="13"/>
  <c r="I17" i="13"/>
  <c r="J16" i="13"/>
  <c r="K15" i="13"/>
  <c r="L14" i="13"/>
  <c r="M13" i="13"/>
  <c r="E13" i="13"/>
  <c r="F12" i="13"/>
  <c r="G11" i="13"/>
  <c r="H10" i="13"/>
  <c r="I9" i="13"/>
  <c r="D5" i="11"/>
  <c r="M9" i="4"/>
  <c r="K19" i="4"/>
  <c r="I27" i="10"/>
  <c r="I5" i="11" s="1"/>
  <c r="K34" i="10"/>
  <c r="K12" i="11" s="1"/>
  <c r="E33" i="10"/>
  <c r="E11" i="11" s="1"/>
  <c r="K30" i="10"/>
  <c r="K8" i="11" s="1"/>
  <c r="G28" i="10"/>
  <c r="G6" i="11" s="1"/>
  <c r="H27" i="10"/>
  <c r="H5" i="11" s="1"/>
  <c r="J34" i="10"/>
  <c r="J12" i="11" s="1"/>
  <c r="H31" i="10"/>
  <c r="H9" i="11" s="1"/>
  <c r="D29" i="10"/>
  <c r="D7" i="11" s="1"/>
  <c r="G35" i="10"/>
  <c r="G13" i="11" s="1"/>
  <c r="M32" i="10"/>
  <c r="M10" i="11" s="1"/>
  <c r="K29" i="10"/>
  <c r="K7" i="11" s="1"/>
  <c r="J36" i="10"/>
  <c r="J14" i="11" s="1"/>
  <c r="D35" i="10"/>
  <c r="D13" i="11" s="1"/>
  <c r="H33" i="10"/>
  <c r="H11" i="11" s="1"/>
  <c r="J32" i="10"/>
  <c r="J10" i="11" s="1"/>
  <c r="D31" i="10"/>
  <c r="D9" i="11" s="1"/>
  <c r="F30" i="10"/>
  <c r="F8" i="11" s="1"/>
  <c r="H29" i="10"/>
  <c r="H7" i="11" s="1"/>
  <c r="J27" i="10"/>
  <c r="J5" i="11" s="1"/>
  <c r="H36" i="10"/>
  <c r="H14" i="11" s="1"/>
  <c r="J35" i="10"/>
  <c r="J13" i="11" s="1"/>
  <c r="L34" i="10"/>
  <c r="L12" i="11" s="1"/>
  <c r="D34" i="10"/>
  <c r="F33" i="10"/>
  <c r="F11" i="11" s="1"/>
  <c r="H32" i="10"/>
  <c r="H10" i="11" s="1"/>
  <c r="J31" i="10"/>
  <c r="J9" i="11" s="1"/>
  <c r="L30" i="10"/>
  <c r="L8" i="11" s="1"/>
  <c r="D30" i="10"/>
  <c r="D8" i="11" s="1"/>
  <c r="F29" i="10"/>
  <c r="F7" i="11" s="1"/>
  <c r="H28" i="10"/>
  <c r="H6" i="11" s="1"/>
  <c r="F28" i="10"/>
  <c r="E28" i="10"/>
  <c r="E6" i="11" s="1"/>
  <c r="D28" i="10"/>
  <c r="D6" i="11" s="1"/>
  <c r="G36" i="10"/>
  <c r="G14" i="11" s="1"/>
  <c r="G32" i="10"/>
  <c r="G10" i="11" s="1"/>
  <c r="M29" i="10"/>
  <c r="M7" i="11" s="1"/>
  <c r="G27" i="10"/>
  <c r="G5" i="11" s="1"/>
  <c r="H35" i="10"/>
  <c r="H13" i="11" s="1"/>
  <c r="D33" i="10"/>
  <c r="D11" i="11" s="1"/>
  <c r="J30" i="10"/>
  <c r="J8" i="11" s="1"/>
  <c r="M36" i="10"/>
  <c r="M14" i="11" s="1"/>
  <c r="I34" i="10"/>
  <c r="I12" i="11" s="1"/>
  <c r="E32" i="10"/>
  <c r="E10" i="11" s="1"/>
  <c r="I30" i="10"/>
  <c r="I8" i="11" s="1"/>
  <c r="E27" i="10"/>
  <c r="E5" i="11" s="1"/>
  <c r="L36" i="10"/>
  <c r="L14" i="11" s="1"/>
  <c r="D36" i="10"/>
  <c r="D14" i="11" s="1"/>
  <c r="F35" i="10"/>
  <c r="F13" i="11" s="1"/>
  <c r="H34" i="10"/>
  <c r="H12" i="11" s="1"/>
  <c r="J33" i="10"/>
  <c r="J11" i="11" s="1"/>
  <c r="L32" i="10"/>
  <c r="L10" i="11" s="1"/>
  <c r="D32" i="10"/>
  <c r="D10" i="11" s="1"/>
  <c r="F31" i="10"/>
  <c r="F9" i="11" s="1"/>
  <c r="H30" i="10"/>
  <c r="H8" i="11" s="1"/>
  <c r="J29" i="10"/>
  <c r="L28" i="10"/>
  <c r="L6" i="11" s="1"/>
  <c r="M27" i="10"/>
  <c r="M5" i="11" s="1"/>
  <c r="K36" i="10"/>
  <c r="K14" i="11" s="1"/>
  <c r="M35" i="10"/>
  <c r="M13" i="11" s="1"/>
  <c r="E35" i="10"/>
  <c r="E13" i="11" s="1"/>
  <c r="G34" i="10"/>
  <c r="G12" i="11" s="1"/>
  <c r="I33" i="10"/>
  <c r="I11" i="11" s="1"/>
  <c r="K32" i="10"/>
  <c r="K10" i="11" s="1"/>
  <c r="M31" i="10"/>
  <c r="M9" i="11" s="1"/>
  <c r="E31" i="10"/>
  <c r="E9" i="11" s="1"/>
  <c r="G30" i="10"/>
  <c r="G8" i="11" s="1"/>
  <c r="I29" i="10"/>
  <c r="I7" i="11" s="1"/>
  <c r="K28" i="10"/>
  <c r="K6" i="11" s="1"/>
  <c r="I35" i="10"/>
  <c r="I13" i="11" s="1"/>
  <c r="M33" i="10"/>
  <c r="M11" i="11" s="1"/>
  <c r="I31" i="10"/>
  <c r="I9" i="11" s="1"/>
  <c r="E29" i="10"/>
  <c r="E7" i="11" s="1"/>
  <c r="F36" i="10"/>
  <c r="F14" i="11" s="1"/>
  <c r="L33" i="10"/>
  <c r="L11" i="11" s="1"/>
  <c r="F32" i="10"/>
  <c r="F10" i="11" s="1"/>
  <c r="L29" i="10"/>
  <c r="L7" i="11" s="1"/>
  <c r="F27" i="10"/>
  <c r="F5" i="11" s="1"/>
  <c r="E36" i="10"/>
  <c r="E14" i="11" s="1"/>
  <c r="K33" i="10"/>
  <c r="K11" i="11" s="1"/>
  <c r="G31" i="10"/>
  <c r="G9" i="11" s="1"/>
  <c r="M28" i="10"/>
  <c r="M6" i="11" s="1"/>
  <c r="L27" i="10"/>
  <c r="L5" i="11" s="1"/>
  <c r="L35" i="10"/>
  <c r="L13" i="11" s="1"/>
  <c r="F34" i="10"/>
  <c r="F12" i="11" s="1"/>
  <c r="L31" i="10"/>
  <c r="L9" i="11" s="1"/>
  <c r="J28" i="10"/>
  <c r="J6" i="11" s="1"/>
  <c r="K27" i="10"/>
  <c r="K5" i="11" s="1"/>
  <c r="I36" i="10"/>
  <c r="I14" i="11" s="1"/>
  <c r="K35" i="10"/>
  <c r="K13" i="11" s="1"/>
  <c r="M34" i="10"/>
  <c r="M12" i="11" s="1"/>
  <c r="E34" i="10"/>
  <c r="E12" i="11" s="1"/>
  <c r="G33" i="10"/>
  <c r="G11" i="11" s="1"/>
  <c r="I32" i="10"/>
  <c r="I10" i="11" s="1"/>
  <c r="K31" i="10"/>
  <c r="K9" i="11" s="1"/>
  <c r="M30" i="10"/>
  <c r="M8" i="11" s="1"/>
  <c r="E30" i="10"/>
  <c r="E8" i="11" s="1"/>
  <c r="G29" i="10"/>
  <c r="G7" i="11" s="1"/>
  <c r="I28" i="10"/>
  <c r="I6" i="11" s="1"/>
  <c r="F15" i="10"/>
  <c r="D26" i="7"/>
  <c r="D27" i="7"/>
  <c r="F5" i="7"/>
  <c r="C3" i="2"/>
  <c r="H11" i="2"/>
  <c r="B3" i="2"/>
  <c r="O14" i="13" l="1"/>
  <c r="O15" i="13"/>
  <c r="O12" i="13"/>
  <c r="O11" i="13"/>
  <c r="O9" i="13"/>
  <c r="O17" i="13"/>
  <c r="O16" i="13"/>
  <c r="O10" i="13"/>
  <c r="O18" i="13"/>
  <c r="O13" i="13"/>
  <c r="N17" i="13"/>
  <c r="N9" i="13"/>
  <c r="D19" i="13"/>
  <c r="I19" i="13"/>
  <c r="K19" i="13"/>
  <c r="N15" i="13"/>
  <c r="N12" i="13"/>
  <c r="J19" i="13"/>
  <c r="E19" i="13"/>
  <c r="L19" i="13"/>
  <c r="N10" i="13"/>
  <c r="H19" i="13"/>
  <c r="N11" i="13"/>
  <c r="G19" i="13"/>
  <c r="N14" i="13"/>
  <c r="N18" i="13"/>
  <c r="N13" i="13"/>
  <c r="M19" i="13"/>
  <c r="F19" i="13"/>
  <c r="N16" i="13"/>
  <c r="N13" i="11"/>
  <c r="P13" i="11" s="1"/>
  <c r="N10" i="11"/>
  <c r="O10" i="11" s="1"/>
  <c r="L15" i="11"/>
  <c r="M15" i="11"/>
  <c r="I15" i="11"/>
  <c r="K15" i="11"/>
  <c r="N14" i="11"/>
  <c r="O14" i="11" s="1"/>
  <c r="N11" i="11"/>
  <c r="P11" i="11" s="1"/>
  <c r="N9" i="11"/>
  <c r="P9" i="11" s="1"/>
  <c r="E15" i="11"/>
  <c r="N5" i="11"/>
  <c r="O5" i="11" s="1"/>
  <c r="G15" i="11"/>
  <c r="H15" i="11"/>
  <c r="N8" i="11"/>
  <c r="O8" i="11" s="1"/>
  <c r="N29" i="10"/>
  <c r="O29" i="10" s="1"/>
  <c r="B12" i="14" s="1"/>
  <c r="J7" i="11"/>
  <c r="J15" i="11" s="1"/>
  <c r="N28" i="10"/>
  <c r="O28" i="10" s="1"/>
  <c r="B11" i="14" s="1"/>
  <c r="F6" i="11"/>
  <c r="F15" i="11" s="1"/>
  <c r="N34" i="10"/>
  <c r="O34" i="10" s="1"/>
  <c r="B17" i="14" s="1"/>
  <c r="D12" i="11"/>
  <c r="N12" i="11" s="1"/>
  <c r="O12" i="11" s="1"/>
  <c r="N9" i="4"/>
  <c r="N19" i="4" s="1"/>
  <c r="N20" i="4" s="1"/>
  <c r="M19" i="4"/>
  <c r="M20" i="4" s="1"/>
  <c r="K21" i="4" s="1"/>
  <c r="B3" i="14" s="1"/>
  <c r="E37" i="10"/>
  <c r="J37" i="10"/>
  <c r="H37" i="10"/>
  <c r="N32" i="10"/>
  <c r="O32" i="10" s="1"/>
  <c r="B15" i="14" s="1"/>
  <c r="L37" i="10"/>
  <c r="K37" i="10"/>
  <c r="N35" i="10"/>
  <c r="O35" i="10" s="1"/>
  <c r="B18" i="14" s="1"/>
  <c r="N31" i="10"/>
  <c r="O31" i="10" s="1"/>
  <c r="B14" i="14" s="1"/>
  <c r="M37" i="10"/>
  <c r="F37" i="10"/>
  <c r="G37" i="10"/>
  <c r="N30" i="10"/>
  <c r="O30" i="10" s="1"/>
  <c r="B13" i="14" s="1"/>
  <c r="I37" i="10"/>
  <c r="N33" i="10"/>
  <c r="O33" i="10" s="1"/>
  <c r="B16" i="14" s="1"/>
  <c r="N36" i="10"/>
  <c r="O36" i="10" s="1"/>
  <c r="B19" i="14" s="1"/>
  <c r="D37" i="10"/>
  <c r="N27" i="10"/>
  <c r="O27" i="10" s="1"/>
  <c r="B10" i="14" s="1"/>
  <c r="N8" i="10"/>
  <c r="I15" i="10"/>
  <c r="N10" i="10"/>
  <c r="N11" i="10"/>
  <c r="J15" i="10"/>
  <c r="N14" i="10"/>
  <c r="N7" i="10"/>
  <c r="N6" i="10"/>
  <c r="N9" i="10"/>
  <c r="L15" i="10"/>
  <c r="N12" i="10"/>
  <c r="E15" i="10"/>
  <c r="G15" i="10"/>
  <c r="M15" i="10"/>
  <c r="N13" i="10"/>
  <c r="H15" i="10"/>
  <c r="K15" i="10"/>
  <c r="D15" i="10"/>
  <c r="N5" i="10"/>
  <c r="B21" i="7"/>
  <c r="G5" i="7"/>
  <c r="C21" i="7" s="1"/>
  <c r="I11" i="2"/>
  <c r="H12" i="2" s="1"/>
  <c r="I12" i="2" s="1"/>
  <c r="H13" i="2" s="1"/>
  <c r="D11" i="2"/>
  <c r="D6" i="3" s="1"/>
  <c r="E9" i="4" s="1"/>
  <c r="J2" i="6" s="1"/>
  <c r="K2" i="6" s="1"/>
  <c r="L2" i="6" s="1"/>
  <c r="P5" i="11" l="1"/>
  <c r="Q5" i="11" s="1"/>
  <c r="O13" i="11"/>
  <c r="Q13" i="11" s="1"/>
  <c r="N19" i="13"/>
  <c r="O19" i="13" s="1"/>
  <c r="P10" i="11"/>
  <c r="Q10" i="11" s="1"/>
  <c r="P8" i="11"/>
  <c r="Q8" i="11" s="1"/>
  <c r="O11" i="11"/>
  <c r="Q11" i="11" s="1"/>
  <c r="O9" i="11"/>
  <c r="Q9" i="11" s="1"/>
  <c r="P12" i="11"/>
  <c r="Q12" i="11" s="1"/>
  <c r="P14" i="11"/>
  <c r="Q14" i="11" s="1"/>
  <c r="N6" i="11"/>
  <c r="P6" i="11" s="1"/>
  <c r="N7" i="11"/>
  <c r="D15" i="11"/>
  <c r="N15" i="11" s="1"/>
  <c r="K22" i="4"/>
  <c r="N37" i="10"/>
  <c r="N15" i="10"/>
  <c r="F6" i="7"/>
  <c r="G6" i="7" s="1"/>
  <c r="C22" i="7" s="1"/>
  <c r="B22" i="7"/>
  <c r="I13" i="2"/>
  <c r="H14" i="2" s="1"/>
  <c r="K23" i="4" l="1"/>
  <c r="K24" i="4" s="1"/>
  <c r="D19" i="11"/>
  <c r="B2" i="13"/>
  <c r="O6" i="11"/>
  <c r="Q6" i="11" s="1"/>
  <c r="P7" i="11"/>
  <c r="O7" i="11"/>
  <c r="F7" i="7"/>
  <c r="I14" i="2"/>
  <c r="H15" i="2" s="1"/>
  <c r="O15" i="11" l="1"/>
  <c r="R6" i="11" s="1"/>
  <c r="R5" i="11"/>
  <c r="R8" i="11"/>
  <c r="R11" i="11"/>
  <c r="R13" i="11"/>
  <c r="R9" i="11"/>
  <c r="R10" i="11"/>
  <c r="Q7" i="11"/>
  <c r="G7" i="7"/>
  <c r="B23" i="7"/>
  <c r="I15" i="2"/>
  <c r="H16" i="2" s="1"/>
  <c r="R12" i="11" l="1"/>
  <c r="R14" i="11"/>
  <c r="R7" i="11"/>
  <c r="B19" i="11"/>
  <c r="Q15" i="11"/>
  <c r="A19" i="11"/>
  <c r="C19" i="11" s="1"/>
  <c r="C23" i="7"/>
  <c r="F8" i="7"/>
  <c r="I16" i="2"/>
  <c r="H17" i="2" s="1"/>
  <c r="D2" i="12" l="1"/>
  <c r="G8" i="7"/>
  <c r="B24" i="7"/>
  <c r="I17" i="2"/>
  <c r="H18" i="2" s="1"/>
  <c r="C24" i="7" l="1"/>
  <c r="F9" i="7"/>
  <c r="I18" i="2"/>
  <c r="H19" i="2" s="1"/>
  <c r="G9" i="7" l="1"/>
  <c r="B25" i="7"/>
  <c r="I19" i="2"/>
  <c r="H20" i="2" s="1"/>
  <c r="C25" i="7" l="1"/>
  <c r="F10" i="7"/>
  <c r="I20" i="2"/>
  <c r="G10" i="7" l="1"/>
  <c r="F11" i="7" s="1"/>
  <c r="G11" i="7" s="1"/>
  <c r="F12" i="7" s="1"/>
  <c r="G12" i="7" s="1"/>
  <c r="B26" i="7"/>
  <c r="C12" i="2" l="1"/>
  <c r="D12" i="2" l="1"/>
  <c r="D7" i="3"/>
  <c r="E10" i="4" s="1"/>
  <c r="J3" i="6" s="1"/>
  <c r="K3" i="6" s="1"/>
  <c r="L3" i="6" s="1"/>
  <c r="C13" i="2"/>
  <c r="D13" i="2" l="1"/>
  <c r="C14" i="2" s="1"/>
  <c r="D8" i="3"/>
  <c r="E11" i="4" s="1"/>
  <c r="J4" i="6" s="1"/>
  <c r="K4" i="6" s="1"/>
  <c r="L4" i="6" s="1"/>
  <c r="D14" i="2" l="1"/>
  <c r="D9" i="3"/>
  <c r="E12" i="4" s="1"/>
  <c r="J5" i="6" s="1"/>
  <c r="K5" i="6" s="1"/>
  <c r="L5" i="6" s="1"/>
  <c r="C15" i="2" l="1"/>
  <c r="D15" i="2" l="1"/>
  <c r="D10" i="3"/>
  <c r="E13" i="4" s="1"/>
  <c r="J6" i="6" l="1"/>
  <c r="K6" i="6" s="1"/>
  <c r="L6" i="6" s="1"/>
  <c r="D25" i="4"/>
  <c r="C16" i="2"/>
  <c r="D16" i="2" l="1"/>
  <c r="D11" i="3"/>
  <c r="E14" i="4" s="1"/>
  <c r="J7" i="6" s="1"/>
  <c r="K7" i="6" s="1"/>
  <c r="L7" i="6" s="1"/>
  <c r="C17" i="2" l="1"/>
  <c r="D17" i="2" l="1"/>
  <c r="D12" i="3"/>
  <c r="E15" i="4" s="1"/>
  <c r="J8" i="6" s="1"/>
  <c r="K8" i="6" s="1"/>
  <c r="L8" i="6" s="1"/>
  <c r="C18" i="2" l="1"/>
  <c r="D18" i="2" l="1"/>
  <c r="D13" i="3"/>
  <c r="E16" i="4" s="1"/>
  <c r="J9" i="6" s="1"/>
  <c r="K9" i="6" s="1"/>
  <c r="L9" i="6" s="1"/>
  <c r="C19" i="2" l="1"/>
  <c r="D19" i="2" l="1"/>
  <c r="D14" i="3"/>
  <c r="E17" i="4" s="1"/>
  <c r="J10" i="6" s="1"/>
  <c r="K10" i="6" s="1"/>
  <c r="L10" i="6" s="1"/>
  <c r="C20" i="2" l="1"/>
  <c r="B6" i="3" l="1"/>
  <c r="B14" i="3"/>
  <c r="B15" i="3"/>
  <c r="B9" i="3"/>
  <c r="B10" i="3"/>
  <c r="B8" i="3"/>
  <c r="B7" i="3"/>
  <c r="B12" i="3"/>
  <c r="B13" i="3"/>
  <c r="B11" i="3"/>
  <c r="D20" i="2"/>
  <c r="D15" i="3" s="1"/>
  <c r="E18" i="4" s="1"/>
  <c r="J11" i="6" s="1"/>
  <c r="K11" i="6" s="1"/>
  <c r="L11" i="6" s="1"/>
  <c r="D13" i="4" l="1"/>
  <c r="D15" i="4"/>
  <c r="D10" i="4"/>
  <c r="D12" i="4"/>
  <c r="D17" i="4"/>
  <c r="D11" i="4"/>
  <c r="C8" i="3"/>
  <c r="D18" i="4"/>
  <c r="D14" i="4"/>
  <c r="D16" i="4"/>
  <c r="D9" i="4"/>
  <c r="B16" i="3"/>
  <c r="C6" i="3" s="1"/>
  <c r="C15" i="3" l="1"/>
  <c r="C7" i="3"/>
  <c r="I7" i="6"/>
  <c r="M7" i="6" s="1"/>
  <c r="F14" i="4"/>
  <c r="G14" i="4" s="1"/>
  <c r="F12" i="4"/>
  <c r="G12" i="4" s="1"/>
  <c r="I5" i="6"/>
  <c r="M5" i="6" s="1"/>
  <c r="I11" i="6"/>
  <c r="M11" i="6" s="1"/>
  <c r="F18" i="4"/>
  <c r="G18" i="4" s="1"/>
  <c r="E6" i="3"/>
  <c r="I8" i="6"/>
  <c r="M8" i="6" s="1"/>
  <c r="F15" i="4"/>
  <c r="G15" i="4" s="1"/>
  <c r="C13" i="3"/>
  <c r="C14" i="3"/>
  <c r="F17" i="4"/>
  <c r="G17" i="4" s="1"/>
  <c r="I10" i="6"/>
  <c r="M10" i="6" s="1"/>
  <c r="F10" i="4"/>
  <c r="G10" i="4" s="1"/>
  <c r="I3" i="6"/>
  <c r="M3" i="6" s="1"/>
  <c r="C12" i="3"/>
  <c r="F9" i="4"/>
  <c r="I2" i="6"/>
  <c r="M2" i="6" s="1"/>
  <c r="D19" i="4"/>
  <c r="I4" i="6"/>
  <c r="M4" i="6" s="1"/>
  <c r="F11" i="4"/>
  <c r="G11" i="4" s="1"/>
  <c r="C10" i="3"/>
  <c r="F16" i="4"/>
  <c r="G16" i="4" s="1"/>
  <c r="I9" i="6"/>
  <c r="M9" i="6" s="1"/>
  <c r="F13" i="4"/>
  <c r="G13" i="4" s="1"/>
  <c r="I6" i="6"/>
  <c r="M6" i="6" s="1"/>
  <c r="C11" i="3"/>
  <c r="C9" i="3"/>
  <c r="E7" i="3" l="1"/>
  <c r="E8" i="3" s="1"/>
  <c r="E9" i="3"/>
  <c r="E10" i="3" s="1"/>
  <c r="C16" i="3"/>
  <c r="E11" i="3"/>
  <c r="E12" i="3" s="1"/>
  <c r="E13" i="3" s="1"/>
  <c r="E14" i="3" s="1"/>
  <c r="E15" i="3" s="1"/>
  <c r="M12" i="6"/>
  <c r="G9" i="4"/>
  <c r="G19" i="4" s="1"/>
  <c r="G20" i="4" s="1"/>
  <c r="F19" i="4"/>
  <c r="F20" i="4" s="1"/>
  <c r="D21" i="4" s="1"/>
  <c r="A3" i="14" l="1"/>
  <c r="D22" i="4"/>
  <c r="E33" i="6"/>
  <c r="F33" i="6"/>
  <c r="A6" i="6"/>
  <c r="A4" i="7"/>
  <c r="D23" i="4" l="1"/>
  <c r="A2" i="13"/>
  <c r="C20" i="13" s="1"/>
  <c r="B3" i="15" s="1"/>
  <c r="B28" i="13"/>
  <c r="B29" i="13" s="1"/>
  <c r="E13" i="6"/>
  <c r="D24" i="4" l="1"/>
  <c r="A5" i="7" s="1"/>
  <c r="A7" i="6"/>
  <c r="F19" i="6" l="1"/>
  <c r="E19" i="6"/>
  <c r="E26" i="6"/>
  <c r="F26" i="6"/>
  <c r="E26" i="7"/>
  <c r="E21" i="7"/>
  <c r="F20" i="7" s="1"/>
  <c r="G20" i="7" s="1"/>
  <c r="H20" i="7" s="1"/>
  <c r="I20" i="7" s="1"/>
  <c r="E22" i="7"/>
  <c r="E23" i="7"/>
  <c r="E25" i="7"/>
  <c r="E24" i="7"/>
  <c r="F23" i="7" s="1"/>
  <c r="G23" i="7" s="1"/>
  <c r="H23" i="7" s="1"/>
  <c r="I23" i="7" s="1"/>
  <c r="F24" i="7" l="1"/>
  <c r="G24" i="7" s="1"/>
  <c r="H24" i="7" s="1"/>
  <c r="I24" i="7" s="1"/>
  <c r="F22" i="7"/>
  <c r="G22" i="7" s="1"/>
  <c r="H22" i="7" s="1"/>
  <c r="I22" i="7" s="1"/>
  <c r="F21" i="7"/>
  <c r="G21" i="7" s="1"/>
  <c r="H21" i="7" s="1"/>
  <c r="I21" i="7" s="1"/>
  <c r="F25" i="7"/>
  <c r="G25" i="7" s="1"/>
  <c r="H25" i="7" s="1"/>
  <c r="I25" i="7" s="1"/>
  <c r="F26" i="7"/>
  <c r="G26" i="7" s="1"/>
  <c r="H26" i="7" s="1"/>
  <c r="I26" i="7" s="1"/>
  <c r="B28" i="7" s="1"/>
  <c r="F27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<sst xmlns="http://schemas.openxmlformats.org/spreadsheetml/2006/main" count="97" uniqueCount="67">
  <si>
    <t>№</t>
  </si>
  <si>
    <t>Рост</t>
  </si>
  <si>
    <t>Вес</t>
  </si>
  <si>
    <t>Рост(X)</t>
  </si>
  <si>
    <t>Вес(Y)</t>
  </si>
  <si>
    <t>Вариационный ряд X</t>
  </si>
  <si>
    <t>Вариационный ряд Y</t>
  </si>
  <si>
    <t>Найдем h для каждой из выборки, используя вариационные ряды</t>
  </si>
  <si>
    <t>Кол-во интервалов (k)</t>
  </si>
  <si>
    <t>i</t>
  </si>
  <si>
    <t>Посчитаем частоты, относительные частоты и середины интервалов, а также выборочную функцию распределения</t>
  </si>
  <si>
    <t xml:space="preserve">      - выборочное среднее,       - частота</t>
  </si>
  <si>
    <t xml:space="preserve">      - выборочная дисперсия</t>
  </si>
  <si>
    <t xml:space="preserve">    - исправленная выборочная дисперсия</t>
  </si>
  <si>
    <t xml:space="preserve">    - исправленное выборочное среднее квадратичное отклонение</t>
  </si>
  <si>
    <t>Точные оценки</t>
  </si>
  <si>
    <t>Дано или вычислено</t>
  </si>
  <si>
    <t>Объем выборки</t>
  </si>
  <si>
    <t>Дано для пункта Г</t>
  </si>
  <si>
    <t>Надежность</t>
  </si>
  <si>
    <t>Выборочное среднее по интеравльному вариационному ряду</t>
  </si>
  <si>
    <t>Исправленная дисперсия</t>
  </si>
  <si>
    <t>Дано для пункта А</t>
  </si>
  <si>
    <t>Квартиль</t>
  </si>
  <si>
    <t>Доверительный интервал (не включительно):</t>
  </si>
  <si>
    <t>а)</t>
  </si>
  <si>
    <t>Формула</t>
  </si>
  <si>
    <t>Доверительный интервал (не включительно)</t>
  </si>
  <si>
    <t>б)</t>
  </si>
  <si>
    <t>в)</t>
  </si>
  <si>
    <t>г)</t>
  </si>
  <si>
    <t>Значимость</t>
  </si>
  <si>
    <t>Исправленное выборочное среднее квадратичное отклонение</t>
  </si>
  <si>
    <t>Сливаем интервалы 1 и 2, а также 8,9,10</t>
  </si>
  <si>
    <t>X1</t>
  </si>
  <si>
    <t>X2</t>
  </si>
  <si>
    <t>y</t>
  </si>
  <si>
    <t>Критерий Фишера</t>
  </si>
  <si>
    <t>K</t>
  </si>
  <si>
    <t>Критерий Стьдента</t>
  </si>
  <si>
    <t>Гипотеза о нормальном распределении роста принимается,  так как</t>
  </si>
  <si>
    <t xml:space="preserve">𝑛 </t>
  </si>
  <si>
    <t>𝛾</t>
  </si>
  <si>
    <t>ᛕ</t>
  </si>
  <si>
    <t>|K| &lt;        --&gt;  принимается (о равенстве дисперсий)</t>
  </si>
  <si>
    <t xml:space="preserve">Гипотеза об однородности принимается, так как |K| &lt; </t>
  </si>
  <si>
    <t>Интервальная корреляционная таблица</t>
  </si>
  <si>
    <t>Частоты идут вдоль диагонали, можно предположить прямую коррекцию</t>
  </si>
  <si>
    <t>Условные средние возрастают =&gt; прямая корреляция</t>
  </si>
  <si>
    <t>Корреляционная таблица</t>
  </si>
  <si>
    <t>Теорема о разложении дисперсии выполняется: выборочная дисперсия равна сумме межгрупповой и внутригрупповой дисперсии</t>
  </si>
  <si>
    <t>, поэтому гипотеза о независимости отклоняется (есть корреляция между ростом и весом)</t>
  </si>
  <si>
    <t>Выборочные не исправленные среднеквадратичные отклонения</t>
  </si>
  <si>
    <t>Уравнение регрессии</t>
  </si>
  <si>
    <t>x</t>
  </si>
  <si>
    <t>Выборочное корреляционное соотношение</t>
  </si>
  <si>
    <t>Коеффицент корреляции</t>
  </si>
  <si>
    <t>Выборочное корреляционное соотношение не намного больше коэфициента корреляции, следовательно выбрана правильная модель линейной регрессии</t>
  </si>
  <si>
    <t>0,767x - 64,3</t>
  </si>
  <si>
    <t>a</t>
  </si>
  <si>
    <t>b</t>
  </si>
  <si>
    <t>ЛИНЕЙН</t>
  </si>
  <si>
    <t>Стандарная ошибка прогноза и доверительный интервал</t>
  </si>
  <si>
    <t>прогноз (y)</t>
  </si>
  <si>
    <t>Доверительные интервалы коэффициентов линейной регрессии</t>
  </si>
  <si>
    <t>поэтому уравнение линейной регрессии статистически значимо.</t>
  </si>
  <si>
    <r>
      <t xml:space="preserve">По шкале Чеддока - </t>
    </r>
    <r>
      <rPr>
        <i/>
        <u/>
        <sz val="11"/>
        <color theme="1"/>
        <rFont val="Arial"/>
        <family val="2"/>
      </rPr>
      <t>заметная</t>
    </r>
    <r>
      <rPr>
        <i/>
        <sz val="11"/>
        <color theme="1"/>
        <rFont val="Arial"/>
        <family val="2"/>
      </rPr>
      <t xml:space="preserve"> прямая корреляция веса от роста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</si>
</sst>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  <charset val="204"/>
    </font>
    <font>
      <sz val="11"/>
      <color rgb="FF000000"/>
      <name val="Arial"/>
      <family val="2"/>
    </font>
    <font>
      <i/>
      <u/>
      <sz val="11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CE76"/>
        <bgColor indexed="64"/>
      </patternFill>
    </fill>
    <fill>
      <patternFill patternType="solid">
        <fgColor rgb="FF8FD9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F44B"/>
        <bgColor indexed="64"/>
      </patternFill>
    </fill>
    <fill>
      <patternFill patternType="solid">
        <fgColor rgb="FFFDD23E"/>
        <bgColor indexed="64"/>
      </patternFill>
    </fill>
    <fill>
      <patternFill patternType="solid">
        <fgColor rgb="FFFB7B56"/>
        <bgColor indexed="64"/>
      </patternFill>
    </fill>
    <fill>
      <patternFill patternType="solid">
        <fgColor rgb="FFFFAF86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rgb="FFBC7C15"/>
        <bgColor indexed="64"/>
      </patternFill>
    </fill>
    <fill>
      <patternFill patternType="solid">
        <fgColor rgb="FFE0D4F4"/>
        <bgColor indexed="64"/>
      </patternFill>
    </fill>
    <fill>
      <patternFill patternType="solid">
        <fgColor rgb="FFEFFFB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2" borderId="1" xfId="0" applyFill="1" applyBorder="1"/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0" xfId="0" applyFont="1"/>
    <xf numFmtId="0" fontId="6" fillId="6" borderId="1" xfId="0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8" fillId="8" borderId="1" xfId="0" applyFont="1" applyFill="1" applyBorder="1"/>
    <xf numFmtId="0" fontId="8" fillId="9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6" fillId="0" borderId="0" xfId="0" applyFont="1" applyBorder="1"/>
    <xf numFmtId="0" fontId="6" fillId="5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0" fillId="6" borderId="1" xfId="0" applyFill="1" applyBorder="1"/>
    <xf numFmtId="0" fontId="8" fillId="11" borderId="1" xfId="0" applyFont="1" applyFill="1" applyBorder="1"/>
    <xf numFmtId="0" fontId="0" fillId="12" borderId="1" xfId="0" applyFill="1" applyBorder="1"/>
    <xf numFmtId="0" fontId="0" fillId="2" borderId="1" xfId="0" applyFill="1" applyBorder="1" applyAlignment="1">
      <alignment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0" borderId="1" xfId="0" applyFont="1" applyFill="1" applyBorder="1"/>
    <xf numFmtId="0" fontId="8" fillId="0" borderId="0" xfId="0" applyFont="1" applyFill="1" applyBorder="1"/>
    <xf numFmtId="0" fontId="0" fillId="7" borderId="1" xfId="0" applyFill="1" applyBorder="1" applyAlignment="1">
      <alignment vertical="center"/>
    </xf>
    <xf numFmtId="0" fontId="0" fillId="7" borderId="9" xfId="0" applyFill="1" applyBorder="1"/>
    <xf numFmtId="0" fontId="3" fillId="7" borderId="12" xfId="0" applyFont="1" applyFill="1" applyBorder="1" applyAlignment="1">
      <alignment horizontal="center" vertical="center"/>
    </xf>
    <xf numFmtId="0" fontId="0" fillId="0" borderId="13" xfId="0" applyBorder="1"/>
    <xf numFmtId="0" fontId="8" fillId="9" borderId="12" xfId="0" applyFont="1" applyFill="1" applyBorder="1"/>
    <xf numFmtId="0" fontId="8" fillId="11" borderId="8" xfId="0" applyFont="1" applyFill="1" applyBorder="1"/>
    <xf numFmtId="0" fontId="8" fillId="11" borderId="12" xfId="0" applyFont="1" applyFill="1" applyBorder="1"/>
    <xf numFmtId="0" fontId="0" fillId="11" borderId="1" xfId="0" applyFill="1" applyBorder="1"/>
    <xf numFmtId="0" fontId="0" fillId="0" borderId="0" xfId="0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0" fillId="5" borderId="1" xfId="0" applyFill="1" applyBorder="1"/>
    <xf numFmtId="0" fontId="11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quotePrefix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right" vertical="center" wrapText="1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14" xfId="0" applyBorder="1" applyAlignment="1">
      <alignment horizontal="left"/>
    </xf>
    <xf numFmtId="0" fontId="8" fillId="10" borderId="2" xfId="0" applyFont="1" applyFill="1" applyBorder="1" applyAlignment="1">
      <alignment horizontal="center"/>
    </xf>
    <xf numFmtId="0" fontId="8" fillId="3" borderId="1" xfId="0" applyFont="1" applyFill="1" applyBorder="1"/>
    <xf numFmtId="0" fontId="8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8" fillId="9" borderId="9" xfId="0" applyFont="1" applyFill="1" applyBorder="1"/>
    <xf numFmtId="0" fontId="8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 vertical="center"/>
    </xf>
    <xf numFmtId="0" fontId="8" fillId="15" borderId="11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/>
    </xf>
    <xf numFmtId="0" fontId="8" fillId="15" borderId="1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" xfId="0" applyFont="1" applyFill="1" applyBorder="1"/>
    <xf numFmtId="0" fontId="8" fillId="16" borderId="2" xfId="0" applyFont="1" applyFill="1" applyBorder="1" applyAlignment="1">
      <alignment horizontal="center"/>
    </xf>
    <xf numFmtId="0" fontId="8" fillId="16" borderId="1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vertical="center"/>
    </xf>
    <xf numFmtId="0" fontId="13" fillId="14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8" fillId="12" borderId="1" xfId="0" applyFont="1" applyFill="1" applyBorder="1"/>
    <xf numFmtId="0" fontId="4" fillId="11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8" fillId="12" borderId="9" xfId="0" applyFont="1" applyFill="1" applyBorder="1"/>
    <xf numFmtId="0" fontId="4" fillId="7" borderId="1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0" xfId="0" applyAlignment="1">
      <alignment horizontal="left" indent="2"/>
    </xf>
    <xf numFmtId="0" fontId="14" fillId="0" borderId="0" xfId="0" applyFont="1"/>
    <xf numFmtId="0" fontId="0" fillId="5" borderId="0" xfId="0" applyFill="1"/>
    <xf numFmtId="0" fontId="11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4" fillId="12" borderId="1" xfId="0" applyFont="1" applyFill="1" applyBorder="1"/>
    <xf numFmtId="0" fontId="0" fillId="4" borderId="0" xfId="0" applyFill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1" xfId="0" applyFill="1" applyBorder="1"/>
    <xf numFmtId="0" fontId="0" fillId="0" borderId="0" xfId="0" applyBorder="1"/>
    <xf numFmtId="0" fontId="6" fillId="4" borderId="14" xfId="0" applyFont="1" applyFill="1" applyBorder="1" applyAlignment="1">
      <alignment horizontal="center"/>
    </xf>
    <xf numFmtId="0" fontId="8" fillId="12" borderId="16" xfId="0" applyFont="1" applyFill="1" applyBorder="1" applyAlignment="1">
      <alignment horizontal="center"/>
    </xf>
    <xf numFmtId="0" fontId="8" fillId="14" borderId="1" xfId="0" applyFont="1" applyFill="1" applyBorder="1"/>
    <xf numFmtId="0" fontId="8" fillId="3" borderId="3" xfId="0" applyFont="1" applyFill="1" applyBorder="1"/>
    <xf numFmtId="0" fontId="8" fillId="14" borderId="3" xfId="0" applyFont="1" applyFill="1" applyBorder="1"/>
    <xf numFmtId="0" fontId="8" fillId="3" borderId="2" xfId="0" applyFont="1" applyFill="1" applyBorder="1"/>
    <xf numFmtId="0" fontId="8" fillId="14" borderId="2" xfId="0" applyFont="1" applyFill="1" applyBorder="1"/>
    <xf numFmtId="0" fontId="8" fillId="19" borderId="1" xfId="0" applyFont="1" applyFill="1" applyBorder="1"/>
    <xf numFmtId="0" fontId="8" fillId="10" borderId="1" xfId="0" applyFont="1" applyFill="1" applyBorder="1"/>
    <xf numFmtId="0" fontId="8" fillId="19" borderId="11" xfId="0" applyFont="1" applyFill="1" applyBorder="1"/>
    <xf numFmtId="0" fontId="8" fillId="12" borderId="11" xfId="0" applyFont="1" applyFill="1" applyBorder="1"/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8" fillId="12" borderId="21" xfId="0" applyFont="1" applyFill="1" applyBorder="1" applyAlignment="1">
      <alignment horizontal="center"/>
    </xf>
    <xf numFmtId="0" fontId="8" fillId="10" borderId="22" xfId="0" applyFont="1" applyFill="1" applyBorder="1" applyAlignment="1">
      <alignment horizontal="center"/>
    </xf>
    <xf numFmtId="0" fontId="8" fillId="3" borderId="23" xfId="0" applyFont="1" applyFill="1" applyBorder="1"/>
    <xf numFmtId="0" fontId="8" fillId="0" borderId="22" xfId="0" applyFont="1" applyFill="1" applyBorder="1"/>
    <xf numFmtId="0" fontId="8" fillId="14" borderId="23" xfId="0" applyFont="1" applyFill="1" applyBorder="1"/>
    <xf numFmtId="0" fontId="8" fillId="8" borderId="22" xfId="0" applyFont="1" applyFill="1" applyBorder="1"/>
    <xf numFmtId="0" fontId="8" fillId="10" borderId="2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8" fillId="0" borderId="12" xfId="0" applyFont="1" applyFill="1" applyBorder="1"/>
    <xf numFmtId="0" fontId="8" fillId="8" borderId="25" xfId="0" applyFont="1" applyFill="1" applyBorder="1"/>
    <xf numFmtId="0" fontId="8" fillId="8" borderId="12" xfId="0" applyFont="1" applyFill="1" applyBorder="1"/>
    <xf numFmtId="0" fontId="8" fillId="10" borderId="26" xfId="0" applyFont="1" applyFill="1" applyBorder="1"/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14" borderId="32" xfId="0" applyFont="1" applyFill="1" applyBorder="1" applyAlignment="1">
      <alignment horizontal="center"/>
    </xf>
    <xf numFmtId="0" fontId="8" fillId="14" borderId="11" xfId="0" applyFont="1" applyFill="1" applyBorder="1" applyAlignment="1">
      <alignment horizontal="center"/>
    </xf>
    <xf numFmtId="0" fontId="8" fillId="14" borderId="9" xfId="0" applyFont="1" applyFill="1" applyBorder="1"/>
    <xf numFmtId="0" fontId="8" fillId="14" borderId="0" xfId="0" applyFont="1" applyFill="1" applyBorder="1"/>
    <xf numFmtId="0" fontId="8" fillId="14" borderId="6" xfId="0" applyFont="1" applyFill="1" applyBorder="1"/>
    <xf numFmtId="0" fontId="8" fillId="12" borderId="33" xfId="0" applyFont="1" applyFill="1" applyBorder="1" applyAlignment="1">
      <alignment horizontal="center"/>
    </xf>
    <xf numFmtId="0" fontId="8" fillId="12" borderId="34" xfId="0" applyFont="1" applyFill="1" applyBorder="1" applyAlignment="1">
      <alignment horizontal="center"/>
    </xf>
    <xf numFmtId="0" fontId="8" fillId="14" borderId="7" xfId="0" applyFont="1" applyFill="1" applyBorder="1"/>
    <xf numFmtId="0" fontId="8" fillId="0" borderId="2" xfId="0" applyFont="1" applyFill="1" applyBorder="1"/>
    <xf numFmtId="0" fontId="8" fillId="8" borderId="2" xfId="0" applyFont="1" applyFill="1" applyBorder="1"/>
    <xf numFmtId="0" fontId="0" fillId="18" borderId="0" xfId="0" applyFill="1" applyBorder="1"/>
    <xf numFmtId="0" fontId="8" fillId="10" borderId="7" xfId="0" applyFont="1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0" borderId="22" xfId="0" applyBorder="1"/>
    <xf numFmtId="0" fontId="6" fillId="4" borderId="38" xfId="0" applyFont="1" applyFill="1" applyBorder="1" applyAlignment="1">
      <alignment horizontal="center"/>
    </xf>
    <xf numFmtId="0" fontId="0" fillId="0" borderId="1" xfId="0" applyFill="1" applyBorder="1"/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12" borderId="24" xfId="0" applyFill="1" applyBorder="1"/>
    <xf numFmtId="0" fontId="0" fillId="12" borderId="12" xfId="0" applyFill="1" applyBorder="1"/>
    <xf numFmtId="0" fontId="0" fillId="12" borderId="26" xfId="0" applyFill="1" applyBorder="1"/>
    <xf numFmtId="0" fontId="10" fillId="4" borderId="0" xfId="0" applyFont="1" applyFill="1" applyAlignment="1">
      <alignment horizontal="center" vertical="center"/>
    </xf>
    <xf numFmtId="0" fontId="8" fillId="0" borderId="3" xfId="0" applyFont="1" applyFill="1" applyBorder="1"/>
    <xf numFmtId="0" fontId="0" fillId="18" borderId="3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8" borderId="1" xfId="0" applyFill="1" applyBorder="1"/>
    <xf numFmtId="0" fontId="0" fillId="15" borderId="1" xfId="0" applyFill="1" applyBorder="1"/>
    <xf numFmtId="0" fontId="0" fillId="15" borderId="22" xfId="0" applyFill="1" applyBorder="1"/>
    <xf numFmtId="0" fontId="8" fillId="5" borderId="2" xfId="0" applyFont="1" applyFill="1" applyBorder="1"/>
    <xf numFmtId="0" fontId="8" fillId="4" borderId="0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35" xfId="0" applyFont="1" applyFill="1" applyBorder="1" applyAlignment="1">
      <alignment horizontal="center"/>
    </xf>
    <xf numFmtId="0" fontId="8" fillId="4" borderId="3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18" borderId="22" xfId="0" applyFont="1" applyFill="1" applyBorder="1" applyAlignment="1">
      <alignment horizontal="center"/>
    </xf>
    <xf numFmtId="0" fontId="8" fillId="0" borderId="22" xfId="0" applyFont="1" applyBorder="1"/>
    <xf numFmtId="0" fontId="8" fillId="20" borderId="22" xfId="0" applyFont="1" applyFill="1" applyBorder="1"/>
    <xf numFmtId="0" fontId="8" fillId="0" borderId="0" xfId="0" applyFont="1" applyBorder="1"/>
    <xf numFmtId="0" fontId="8" fillId="13" borderId="1" xfId="0" applyFont="1" applyFill="1" applyBorder="1" applyAlignment="1">
      <alignment horizontal="center" vertical="center" wrapText="1"/>
    </xf>
    <xf numFmtId="0" fontId="8" fillId="11" borderId="11" xfId="0" applyFont="1" applyFill="1" applyBorder="1"/>
    <xf numFmtId="0" fontId="8" fillId="20" borderId="39" xfId="0" applyFont="1" applyFill="1" applyBorder="1"/>
    <xf numFmtId="0" fontId="8" fillId="18" borderId="17" xfId="0" applyFont="1" applyFill="1" applyBorder="1"/>
    <xf numFmtId="0" fontId="8" fillId="10" borderId="40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0" fillId="21" borderId="41" xfId="0" applyFill="1" applyBorder="1" applyAlignment="1">
      <alignment horizontal="center"/>
    </xf>
    <xf numFmtId="0" fontId="0" fillId="21" borderId="42" xfId="0" applyFill="1" applyBorder="1" applyAlignment="1">
      <alignment horizontal="center"/>
    </xf>
    <xf numFmtId="0" fontId="0" fillId="22" borderId="43" xfId="0" applyFill="1" applyBorder="1"/>
    <xf numFmtId="0" fontId="0" fillId="13" borderId="35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1" borderId="23" xfId="0" applyFill="1" applyBorder="1"/>
    <xf numFmtId="0" fontId="0" fillId="12" borderId="22" xfId="0" applyFill="1" applyBorder="1"/>
    <xf numFmtId="0" fontId="0" fillId="11" borderId="24" xfId="0" applyFill="1" applyBorder="1"/>
    <xf numFmtId="0" fontId="0" fillId="12" borderId="26" xfId="0" applyFill="1" applyBorder="1" applyAlignment="1">
      <alignment horizontal="center" vertical="center"/>
    </xf>
    <xf numFmtId="0" fontId="0" fillId="5" borderId="24" xfId="0" applyFill="1" applyBorder="1"/>
    <xf numFmtId="0" fontId="0" fillId="5" borderId="26" xfId="0" applyFill="1" applyBorder="1"/>
    <xf numFmtId="0" fontId="8" fillId="2" borderId="35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12" borderId="23" xfId="0" applyFont="1" applyFill="1" applyBorder="1"/>
    <xf numFmtId="0" fontId="8" fillId="12" borderId="22" xfId="0" applyFont="1" applyFill="1" applyBorder="1"/>
    <xf numFmtId="0" fontId="8" fillId="12" borderId="24" xfId="0" applyFont="1" applyFill="1" applyBorder="1"/>
    <xf numFmtId="0" fontId="8" fillId="12" borderId="26" xfId="0" applyFont="1" applyFill="1" applyBorder="1"/>
    <xf numFmtId="0" fontId="8" fillId="4" borderId="44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8" fillId="5" borderId="23" xfId="0" applyFont="1" applyFill="1" applyBorder="1"/>
    <xf numFmtId="0" fontId="8" fillId="5" borderId="22" xfId="0" applyFont="1" applyFill="1" applyBorder="1"/>
    <xf numFmtId="0" fontId="8" fillId="5" borderId="24" xfId="0" applyFont="1" applyFill="1" applyBorder="1"/>
    <xf numFmtId="0" fontId="8" fillId="5" borderId="26" xfId="0" applyFont="1" applyFill="1" applyBorder="1"/>
    <xf numFmtId="0" fontId="8" fillId="4" borderId="35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0" fillId="4" borderId="23" xfId="0" applyFill="1" applyBorder="1"/>
    <xf numFmtId="0" fontId="0" fillId="4" borderId="22" xfId="0" applyFill="1" applyBorder="1"/>
    <xf numFmtId="0" fontId="10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/>
    <xf numFmtId="0" fontId="8" fillId="20" borderId="1" xfId="0" applyFont="1" applyFill="1" applyBorder="1" applyAlignment="1">
      <alignment horizontal="center" wrapText="1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/>
    <xf numFmtId="0" fontId="8" fillId="20" borderId="35" xfId="0" applyFont="1" applyFill="1" applyBorder="1" applyAlignment="1">
      <alignment horizontal="center"/>
    </xf>
    <xf numFmtId="0" fontId="8" fillId="20" borderId="36" xfId="0" applyFont="1" applyFill="1" applyBorder="1" applyAlignment="1">
      <alignment horizontal="center"/>
    </xf>
    <xf numFmtId="0" fontId="8" fillId="20" borderId="37" xfId="0" applyFont="1" applyFill="1" applyBorder="1" applyAlignment="1">
      <alignment horizontal="center"/>
    </xf>
    <xf numFmtId="0" fontId="8" fillId="15" borderId="23" xfId="0" applyFont="1" applyFill="1" applyBorder="1" applyAlignment="1">
      <alignment horizontal="center" vertical="center"/>
    </xf>
    <xf numFmtId="0" fontId="14" fillId="15" borderId="22" xfId="0" applyFont="1" applyFill="1" applyBorder="1"/>
    <xf numFmtId="0" fontId="8" fillId="5" borderId="12" xfId="0" applyFont="1" applyFill="1" applyBorder="1"/>
    <xf numFmtId="0" fontId="8" fillId="24" borderId="1" xfId="0" applyFont="1" applyFill="1" applyBorder="1"/>
    <xf numFmtId="0" fontId="14" fillId="23" borderId="35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23" borderId="37" xfId="0" applyFont="1" applyFill="1" applyBorder="1" applyAlignment="1">
      <alignment horizontal="center"/>
    </xf>
    <xf numFmtId="0" fontId="8" fillId="24" borderId="23" xfId="0" applyFont="1" applyFill="1" applyBorder="1"/>
    <xf numFmtId="0" fontId="8" fillId="24" borderId="22" xfId="0" applyFont="1" applyFill="1" applyBorder="1"/>
    <xf numFmtId="0" fontId="8" fillId="25" borderId="24" xfId="0" applyFont="1" applyFill="1" applyBorder="1"/>
    <xf numFmtId="0" fontId="8" fillId="25" borderId="12" xfId="0" applyFont="1" applyFill="1" applyBorder="1"/>
    <xf numFmtId="0" fontId="8" fillId="25" borderId="26" xfId="0" applyFont="1" applyFill="1" applyBorder="1"/>
    <xf numFmtId="0" fontId="0" fillId="17" borderId="46" xfId="0" applyFill="1" applyBorder="1"/>
    <xf numFmtId="0" fontId="0" fillId="6" borderId="47" xfId="0" applyFill="1" applyBorder="1"/>
    <xf numFmtId="0" fontId="10" fillId="26" borderId="27" xfId="0" applyFont="1" applyFill="1" applyBorder="1" applyAlignment="1">
      <alignment horizontal="center" vertical="center"/>
    </xf>
    <xf numFmtId="0" fontId="10" fillId="26" borderId="28" xfId="0" applyFont="1" applyFill="1" applyBorder="1" applyAlignment="1">
      <alignment horizontal="center" vertical="center"/>
    </xf>
    <xf numFmtId="0" fontId="10" fillId="26" borderId="29" xfId="0" applyFont="1" applyFill="1" applyBorder="1" applyAlignment="1">
      <alignment horizontal="center" vertical="center"/>
    </xf>
    <xf numFmtId="0" fontId="10" fillId="26" borderId="30" xfId="0" applyFont="1" applyFill="1" applyBorder="1" applyAlignment="1">
      <alignment horizontal="center" vertical="center"/>
    </xf>
    <xf numFmtId="0" fontId="10" fillId="26" borderId="13" xfId="0" applyFont="1" applyFill="1" applyBorder="1" applyAlignment="1">
      <alignment horizontal="center" vertical="center"/>
    </xf>
    <xf numFmtId="0" fontId="10" fillId="26" borderId="3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FFFB2"/>
      <color rgb="FFE0D4F4"/>
      <color rgb="FFDABAEF"/>
      <color rgb="FFBC7C15"/>
      <color rgb="FFA56617"/>
      <color rgb="FFAB7942"/>
      <color rgb="FFFFDE00"/>
      <color rgb="FFFDD23E"/>
      <color rgb="FFECCE76"/>
      <color rgb="FFFFA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Гистограмма относительной частоты для первой выборки (Рост)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'2'!$D$11:$D$20</c:f>
              <c:numCache>
                <c:formatCode>General</c:formatCode>
                <c:ptCount val="10"/>
                <c:pt idx="0">
                  <c:v>159.1</c:v>
                </c:pt>
                <c:pt idx="1">
                  <c:v>162.19999999999999</c:v>
                </c:pt>
                <c:pt idx="2">
                  <c:v>165.29999999999998</c:v>
                </c:pt>
                <c:pt idx="3">
                  <c:v>168.39999999999998</c:v>
                </c:pt>
                <c:pt idx="4">
                  <c:v>171.49999999999997</c:v>
                </c:pt>
                <c:pt idx="5">
                  <c:v>174.59999999999997</c:v>
                </c:pt>
                <c:pt idx="6">
                  <c:v>177.69999999999996</c:v>
                </c:pt>
                <c:pt idx="7">
                  <c:v>180.79999999999995</c:v>
                </c:pt>
                <c:pt idx="8">
                  <c:v>183.89999999999995</c:v>
                </c:pt>
                <c:pt idx="9">
                  <c:v>186.99999999999994</c:v>
                </c:pt>
              </c:numCache>
            </c:numRef>
          </c:cat>
          <c:val>
            <c:numRef>
              <c:f>'3'!$C$6:$C$15</c:f>
              <c:numCache>
                <c:formatCode>General</c:formatCode>
                <c:ptCount val="10"/>
                <c:pt idx="0">
                  <c:v>4.4999999999999998E-2</c:v>
                </c:pt>
                <c:pt idx="1">
                  <c:v>5.5E-2</c:v>
                </c:pt>
                <c:pt idx="2">
                  <c:v>0.14000000000000001</c:v>
                </c:pt>
                <c:pt idx="3">
                  <c:v>0.17499999999999999</c:v>
                </c:pt>
                <c:pt idx="4">
                  <c:v>0.27</c:v>
                </c:pt>
                <c:pt idx="5">
                  <c:v>0.185</c:v>
                </c:pt>
                <c:pt idx="6">
                  <c:v>0.06</c:v>
                </c:pt>
                <c:pt idx="7">
                  <c:v>0.05</c:v>
                </c:pt>
                <c:pt idx="8">
                  <c:v>5.0000000000000001E-3</c:v>
                </c:pt>
                <c:pt idx="9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C-4844-BEE5-317A866086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99560752"/>
        <c:axId val="28427952"/>
      </c:barChart>
      <c:catAx>
        <c:axId val="6995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dk1">
              <a:lumMod val="75000"/>
              <a:lumOff val="25000"/>
            </a:schemeClr>
          </a:solidFill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>
            <a:outerShdw blurRad="50800" dist="50800" dir="5400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427952"/>
        <c:crosses val="autoZero"/>
        <c:auto val="1"/>
        <c:lblAlgn val="ctr"/>
        <c:lblOffset val="100"/>
        <c:noMultiLvlLbl val="0"/>
      </c:catAx>
      <c:valAx>
        <c:axId val="284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5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Полигон относительной частоты для первой выборки </a:t>
            </a:r>
            <a:br>
              <a:rPr lang="ru-RU" sz="14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ru-RU" sz="14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(Рост)</a:t>
            </a:r>
            <a:endParaRPr lang="en-US" sz="1400" b="1" i="0" u="none" strike="noStrike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'3'!$D$6:$D$15</c:f>
              <c:numCache>
                <c:formatCode>General</c:formatCode>
                <c:ptCount val="10"/>
                <c:pt idx="0">
                  <c:v>157.55000000000001</c:v>
                </c:pt>
                <c:pt idx="1">
                  <c:v>160.64999999999998</c:v>
                </c:pt>
                <c:pt idx="2">
                  <c:v>163.75</c:v>
                </c:pt>
                <c:pt idx="3">
                  <c:v>166.84999999999997</c:v>
                </c:pt>
                <c:pt idx="4">
                  <c:v>169.95</c:v>
                </c:pt>
                <c:pt idx="5">
                  <c:v>173.04999999999995</c:v>
                </c:pt>
                <c:pt idx="6">
                  <c:v>176.14999999999998</c:v>
                </c:pt>
                <c:pt idx="7">
                  <c:v>179.24999999999994</c:v>
                </c:pt>
                <c:pt idx="8">
                  <c:v>182.34999999999997</c:v>
                </c:pt>
                <c:pt idx="9">
                  <c:v>185.44999999999993</c:v>
                </c:pt>
              </c:numCache>
            </c:numRef>
          </c:xVal>
          <c:yVal>
            <c:numRef>
              <c:f>'3'!$C$6:$C$15</c:f>
              <c:numCache>
                <c:formatCode>General</c:formatCode>
                <c:ptCount val="10"/>
                <c:pt idx="0">
                  <c:v>4.4999999999999998E-2</c:v>
                </c:pt>
                <c:pt idx="1">
                  <c:v>5.5E-2</c:v>
                </c:pt>
                <c:pt idx="2">
                  <c:v>0.14000000000000001</c:v>
                </c:pt>
                <c:pt idx="3">
                  <c:v>0.17499999999999999</c:v>
                </c:pt>
                <c:pt idx="4">
                  <c:v>0.27</c:v>
                </c:pt>
                <c:pt idx="5">
                  <c:v>0.185</c:v>
                </c:pt>
                <c:pt idx="6">
                  <c:v>0.06</c:v>
                </c:pt>
                <c:pt idx="7">
                  <c:v>0.05</c:v>
                </c:pt>
                <c:pt idx="8">
                  <c:v>5.0000000000000001E-3</c:v>
                </c:pt>
                <c:pt idx="9">
                  <c:v>1.4999999999999999E-2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42-CB43-8587-874548AF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69711"/>
        <c:axId val="1941171423"/>
      </c:scatterChart>
      <c:valAx>
        <c:axId val="194116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1171423"/>
        <c:crosses val="autoZero"/>
        <c:crossBetween val="midCat"/>
      </c:valAx>
      <c:valAx>
        <c:axId val="19411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116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>
                <a:latin typeface="Arial" panose="020B0604020202020204" pitchFamily="34" charset="0"/>
                <a:cs typeface="Arial" panose="020B0604020202020204" pitchFamily="34" charset="0"/>
              </a:rPr>
              <a:t>Выборочная</a:t>
            </a:r>
            <a:r>
              <a:rPr lang="ru-RU" baseline="0">
                <a:latin typeface="Arial" panose="020B0604020202020204" pitchFamily="34" charset="0"/>
                <a:cs typeface="Arial" panose="020B0604020202020204" pitchFamily="34" charset="0"/>
              </a:rPr>
              <a:t> функция распределения</a:t>
            </a:r>
            <a:endParaRPr lang="ru-RU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'3'!$D$6:$D$15</c:f>
              <c:numCache>
                <c:formatCode>General</c:formatCode>
                <c:ptCount val="10"/>
                <c:pt idx="0">
                  <c:v>157.55000000000001</c:v>
                </c:pt>
                <c:pt idx="1">
                  <c:v>160.64999999999998</c:v>
                </c:pt>
                <c:pt idx="2">
                  <c:v>163.75</c:v>
                </c:pt>
                <c:pt idx="3">
                  <c:v>166.84999999999997</c:v>
                </c:pt>
                <c:pt idx="4">
                  <c:v>169.95</c:v>
                </c:pt>
                <c:pt idx="5">
                  <c:v>173.04999999999995</c:v>
                </c:pt>
                <c:pt idx="6">
                  <c:v>176.14999999999998</c:v>
                </c:pt>
                <c:pt idx="7">
                  <c:v>179.24999999999994</c:v>
                </c:pt>
                <c:pt idx="8">
                  <c:v>182.34999999999997</c:v>
                </c:pt>
                <c:pt idx="9">
                  <c:v>185.44999999999993</c:v>
                </c:pt>
              </c:numCache>
            </c:numRef>
          </c:xVal>
          <c:yVal>
            <c:numRef>
              <c:f>'3'!$E$6:$E$15</c:f>
              <c:numCache>
                <c:formatCode>General</c:formatCode>
                <c:ptCount val="10"/>
                <c:pt idx="0">
                  <c:v>4.4999999999999998E-2</c:v>
                </c:pt>
                <c:pt idx="1">
                  <c:v>0.1</c:v>
                </c:pt>
                <c:pt idx="2">
                  <c:v>0.24000000000000002</c:v>
                </c:pt>
                <c:pt idx="3">
                  <c:v>0.41500000000000004</c:v>
                </c:pt>
                <c:pt idx="4">
                  <c:v>0.68500000000000005</c:v>
                </c:pt>
                <c:pt idx="5">
                  <c:v>0.87000000000000011</c:v>
                </c:pt>
                <c:pt idx="6">
                  <c:v>0.93000000000000016</c:v>
                </c:pt>
                <c:pt idx="7">
                  <c:v>0.9800000000000002</c:v>
                </c:pt>
                <c:pt idx="8">
                  <c:v>0.98500000000000021</c:v>
                </c:pt>
                <c:pt idx="9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C-DC42-BF7B-CC5F715F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211727"/>
        <c:axId val="1554429791"/>
      </c:scatterChart>
      <c:valAx>
        <c:axId val="64521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4429791"/>
        <c:crosses val="autoZero"/>
        <c:crossBetween val="midCat"/>
      </c:valAx>
      <c:valAx>
        <c:axId val="15544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1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rgbClr val="EFFFB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 sz="2000">
                <a:solidFill>
                  <a:srgbClr val="EFFFB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Корреляционное облако </a:t>
            </a:r>
          </a:p>
          <a:p>
            <a:pPr>
              <a:defRPr sz="2000">
                <a:solidFill>
                  <a:srgbClr val="EFFFB2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ru-RU" sz="2000">
              <a:solidFill>
                <a:srgbClr val="EFFFB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rgbClr val="EFFFB2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609153982052395E-2"/>
          <c:y val="7.5993933135407254E-2"/>
          <c:w val="0.94531209416059248"/>
          <c:h val="0.874436394733445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'1'!$B$2:$B$201</c:f>
              <c:numCache>
                <c:formatCode>General</c:formatCode>
                <c:ptCount val="200"/>
                <c:pt idx="0">
                  <c:v>178</c:v>
                </c:pt>
                <c:pt idx="1">
                  <c:v>163</c:v>
                </c:pt>
                <c:pt idx="2">
                  <c:v>170</c:v>
                </c:pt>
                <c:pt idx="3">
                  <c:v>164</c:v>
                </c:pt>
                <c:pt idx="4">
                  <c:v>164</c:v>
                </c:pt>
                <c:pt idx="5">
                  <c:v>168</c:v>
                </c:pt>
                <c:pt idx="6">
                  <c:v>167</c:v>
                </c:pt>
                <c:pt idx="7">
                  <c:v>166</c:v>
                </c:pt>
                <c:pt idx="8">
                  <c:v>162</c:v>
                </c:pt>
                <c:pt idx="9">
                  <c:v>171</c:v>
                </c:pt>
                <c:pt idx="10">
                  <c:v>168</c:v>
                </c:pt>
                <c:pt idx="11">
                  <c:v>173</c:v>
                </c:pt>
                <c:pt idx="12">
                  <c:v>167</c:v>
                </c:pt>
                <c:pt idx="13">
                  <c:v>170</c:v>
                </c:pt>
                <c:pt idx="14">
                  <c:v>171</c:v>
                </c:pt>
                <c:pt idx="15">
                  <c:v>173</c:v>
                </c:pt>
                <c:pt idx="16">
                  <c:v>187</c:v>
                </c:pt>
                <c:pt idx="17">
                  <c:v>166</c:v>
                </c:pt>
                <c:pt idx="18">
                  <c:v>170</c:v>
                </c:pt>
                <c:pt idx="19">
                  <c:v>178</c:v>
                </c:pt>
                <c:pt idx="20">
                  <c:v>173</c:v>
                </c:pt>
                <c:pt idx="21">
                  <c:v>179</c:v>
                </c:pt>
                <c:pt idx="22">
                  <c:v>171</c:v>
                </c:pt>
                <c:pt idx="23">
                  <c:v>174</c:v>
                </c:pt>
                <c:pt idx="24">
                  <c:v>164</c:v>
                </c:pt>
                <c:pt idx="25">
                  <c:v>173</c:v>
                </c:pt>
                <c:pt idx="26">
                  <c:v>168</c:v>
                </c:pt>
                <c:pt idx="27">
                  <c:v>166</c:v>
                </c:pt>
                <c:pt idx="28">
                  <c:v>177</c:v>
                </c:pt>
                <c:pt idx="29">
                  <c:v>170</c:v>
                </c:pt>
                <c:pt idx="30">
                  <c:v>167</c:v>
                </c:pt>
                <c:pt idx="31">
                  <c:v>174</c:v>
                </c:pt>
                <c:pt idx="32">
                  <c:v>164</c:v>
                </c:pt>
                <c:pt idx="33">
                  <c:v>164</c:v>
                </c:pt>
                <c:pt idx="34">
                  <c:v>178</c:v>
                </c:pt>
                <c:pt idx="35">
                  <c:v>173</c:v>
                </c:pt>
                <c:pt idx="36">
                  <c:v>179</c:v>
                </c:pt>
                <c:pt idx="37">
                  <c:v>165</c:v>
                </c:pt>
                <c:pt idx="38">
                  <c:v>171</c:v>
                </c:pt>
                <c:pt idx="39">
                  <c:v>171</c:v>
                </c:pt>
                <c:pt idx="40">
                  <c:v>170</c:v>
                </c:pt>
                <c:pt idx="41">
                  <c:v>170</c:v>
                </c:pt>
                <c:pt idx="42">
                  <c:v>165</c:v>
                </c:pt>
                <c:pt idx="43">
                  <c:v>156</c:v>
                </c:pt>
                <c:pt idx="44">
                  <c:v>164</c:v>
                </c:pt>
                <c:pt idx="45">
                  <c:v>158</c:v>
                </c:pt>
                <c:pt idx="46">
                  <c:v>165</c:v>
                </c:pt>
                <c:pt idx="47">
                  <c:v>172</c:v>
                </c:pt>
                <c:pt idx="48">
                  <c:v>178</c:v>
                </c:pt>
                <c:pt idx="49">
                  <c:v>159</c:v>
                </c:pt>
                <c:pt idx="50">
                  <c:v>182</c:v>
                </c:pt>
                <c:pt idx="51">
                  <c:v>170</c:v>
                </c:pt>
                <c:pt idx="52">
                  <c:v>168</c:v>
                </c:pt>
                <c:pt idx="53">
                  <c:v>171</c:v>
                </c:pt>
                <c:pt idx="54">
                  <c:v>172</c:v>
                </c:pt>
                <c:pt idx="55">
                  <c:v>169</c:v>
                </c:pt>
                <c:pt idx="56">
                  <c:v>167</c:v>
                </c:pt>
                <c:pt idx="57">
                  <c:v>170</c:v>
                </c:pt>
                <c:pt idx="58">
                  <c:v>170</c:v>
                </c:pt>
                <c:pt idx="59">
                  <c:v>168</c:v>
                </c:pt>
                <c:pt idx="60">
                  <c:v>174</c:v>
                </c:pt>
                <c:pt idx="61">
                  <c:v>167</c:v>
                </c:pt>
                <c:pt idx="62">
                  <c:v>165</c:v>
                </c:pt>
                <c:pt idx="63">
                  <c:v>171</c:v>
                </c:pt>
                <c:pt idx="64">
                  <c:v>170</c:v>
                </c:pt>
                <c:pt idx="65">
                  <c:v>169</c:v>
                </c:pt>
                <c:pt idx="66">
                  <c:v>171</c:v>
                </c:pt>
                <c:pt idx="67">
                  <c:v>161</c:v>
                </c:pt>
                <c:pt idx="68">
                  <c:v>167</c:v>
                </c:pt>
                <c:pt idx="69">
                  <c:v>174</c:v>
                </c:pt>
                <c:pt idx="70">
                  <c:v>171</c:v>
                </c:pt>
                <c:pt idx="71">
                  <c:v>172</c:v>
                </c:pt>
                <c:pt idx="72">
                  <c:v>171</c:v>
                </c:pt>
                <c:pt idx="73">
                  <c:v>173</c:v>
                </c:pt>
                <c:pt idx="74">
                  <c:v>180</c:v>
                </c:pt>
                <c:pt idx="75">
                  <c:v>172</c:v>
                </c:pt>
                <c:pt idx="76">
                  <c:v>173</c:v>
                </c:pt>
                <c:pt idx="77">
                  <c:v>171</c:v>
                </c:pt>
                <c:pt idx="78">
                  <c:v>169</c:v>
                </c:pt>
                <c:pt idx="79">
                  <c:v>161</c:v>
                </c:pt>
                <c:pt idx="80">
                  <c:v>176</c:v>
                </c:pt>
                <c:pt idx="81">
                  <c:v>175</c:v>
                </c:pt>
                <c:pt idx="82">
                  <c:v>158</c:v>
                </c:pt>
                <c:pt idx="83">
                  <c:v>174</c:v>
                </c:pt>
                <c:pt idx="84">
                  <c:v>171</c:v>
                </c:pt>
                <c:pt idx="85">
                  <c:v>176</c:v>
                </c:pt>
                <c:pt idx="86">
                  <c:v>167</c:v>
                </c:pt>
                <c:pt idx="87">
                  <c:v>161</c:v>
                </c:pt>
                <c:pt idx="88">
                  <c:v>161</c:v>
                </c:pt>
                <c:pt idx="89">
                  <c:v>168</c:v>
                </c:pt>
                <c:pt idx="90">
                  <c:v>159</c:v>
                </c:pt>
                <c:pt idx="91">
                  <c:v>163</c:v>
                </c:pt>
                <c:pt idx="92">
                  <c:v>168</c:v>
                </c:pt>
                <c:pt idx="93">
                  <c:v>172</c:v>
                </c:pt>
                <c:pt idx="94">
                  <c:v>186</c:v>
                </c:pt>
                <c:pt idx="95">
                  <c:v>171</c:v>
                </c:pt>
                <c:pt idx="96">
                  <c:v>187</c:v>
                </c:pt>
                <c:pt idx="97">
                  <c:v>170</c:v>
                </c:pt>
                <c:pt idx="98">
                  <c:v>160</c:v>
                </c:pt>
                <c:pt idx="99">
                  <c:v>172</c:v>
                </c:pt>
                <c:pt idx="100">
                  <c:v>168</c:v>
                </c:pt>
                <c:pt idx="101">
                  <c:v>157</c:v>
                </c:pt>
                <c:pt idx="102">
                  <c:v>164</c:v>
                </c:pt>
                <c:pt idx="103">
                  <c:v>170</c:v>
                </c:pt>
                <c:pt idx="104">
                  <c:v>171</c:v>
                </c:pt>
                <c:pt idx="105">
                  <c:v>160</c:v>
                </c:pt>
                <c:pt idx="106">
                  <c:v>162</c:v>
                </c:pt>
                <c:pt idx="107">
                  <c:v>163</c:v>
                </c:pt>
                <c:pt idx="108">
                  <c:v>171</c:v>
                </c:pt>
                <c:pt idx="109">
                  <c:v>161</c:v>
                </c:pt>
                <c:pt idx="110">
                  <c:v>173</c:v>
                </c:pt>
                <c:pt idx="111">
                  <c:v>175</c:v>
                </c:pt>
                <c:pt idx="112">
                  <c:v>164</c:v>
                </c:pt>
                <c:pt idx="113">
                  <c:v>174</c:v>
                </c:pt>
                <c:pt idx="114">
                  <c:v>167</c:v>
                </c:pt>
                <c:pt idx="115">
                  <c:v>176</c:v>
                </c:pt>
                <c:pt idx="116">
                  <c:v>163</c:v>
                </c:pt>
                <c:pt idx="117">
                  <c:v>156</c:v>
                </c:pt>
                <c:pt idx="118">
                  <c:v>179</c:v>
                </c:pt>
                <c:pt idx="119">
                  <c:v>179</c:v>
                </c:pt>
                <c:pt idx="120">
                  <c:v>176</c:v>
                </c:pt>
                <c:pt idx="121">
                  <c:v>163</c:v>
                </c:pt>
                <c:pt idx="122">
                  <c:v>175</c:v>
                </c:pt>
                <c:pt idx="123">
                  <c:v>156</c:v>
                </c:pt>
                <c:pt idx="124">
                  <c:v>177</c:v>
                </c:pt>
                <c:pt idx="125">
                  <c:v>166</c:v>
                </c:pt>
                <c:pt idx="126">
                  <c:v>173</c:v>
                </c:pt>
                <c:pt idx="127">
                  <c:v>169</c:v>
                </c:pt>
                <c:pt idx="128">
                  <c:v>172</c:v>
                </c:pt>
                <c:pt idx="129">
                  <c:v>165</c:v>
                </c:pt>
                <c:pt idx="130">
                  <c:v>164</c:v>
                </c:pt>
                <c:pt idx="131">
                  <c:v>166</c:v>
                </c:pt>
                <c:pt idx="132">
                  <c:v>168</c:v>
                </c:pt>
                <c:pt idx="133">
                  <c:v>167</c:v>
                </c:pt>
                <c:pt idx="134">
                  <c:v>166</c:v>
                </c:pt>
                <c:pt idx="135">
                  <c:v>169</c:v>
                </c:pt>
                <c:pt idx="136">
                  <c:v>169</c:v>
                </c:pt>
                <c:pt idx="137">
                  <c:v>169</c:v>
                </c:pt>
                <c:pt idx="138">
                  <c:v>164</c:v>
                </c:pt>
                <c:pt idx="139">
                  <c:v>179</c:v>
                </c:pt>
                <c:pt idx="140">
                  <c:v>156</c:v>
                </c:pt>
                <c:pt idx="141">
                  <c:v>168</c:v>
                </c:pt>
                <c:pt idx="142">
                  <c:v>171</c:v>
                </c:pt>
                <c:pt idx="143">
                  <c:v>166</c:v>
                </c:pt>
                <c:pt idx="144">
                  <c:v>171</c:v>
                </c:pt>
                <c:pt idx="145">
                  <c:v>172</c:v>
                </c:pt>
                <c:pt idx="146">
                  <c:v>171</c:v>
                </c:pt>
                <c:pt idx="147">
                  <c:v>169</c:v>
                </c:pt>
                <c:pt idx="148">
                  <c:v>174</c:v>
                </c:pt>
                <c:pt idx="149">
                  <c:v>165</c:v>
                </c:pt>
                <c:pt idx="150">
                  <c:v>165</c:v>
                </c:pt>
                <c:pt idx="151">
                  <c:v>163</c:v>
                </c:pt>
                <c:pt idx="152">
                  <c:v>171</c:v>
                </c:pt>
                <c:pt idx="153">
                  <c:v>172</c:v>
                </c:pt>
                <c:pt idx="154">
                  <c:v>175</c:v>
                </c:pt>
                <c:pt idx="155">
                  <c:v>172</c:v>
                </c:pt>
                <c:pt idx="156">
                  <c:v>162</c:v>
                </c:pt>
                <c:pt idx="157">
                  <c:v>163</c:v>
                </c:pt>
                <c:pt idx="158">
                  <c:v>173</c:v>
                </c:pt>
                <c:pt idx="159">
                  <c:v>174</c:v>
                </c:pt>
                <c:pt idx="160">
                  <c:v>164</c:v>
                </c:pt>
                <c:pt idx="161">
                  <c:v>176</c:v>
                </c:pt>
                <c:pt idx="162">
                  <c:v>171</c:v>
                </c:pt>
                <c:pt idx="163">
                  <c:v>173</c:v>
                </c:pt>
                <c:pt idx="164">
                  <c:v>169</c:v>
                </c:pt>
                <c:pt idx="165">
                  <c:v>166</c:v>
                </c:pt>
                <c:pt idx="166">
                  <c:v>173</c:v>
                </c:pt>
                <c:pt idx="167">
                  <c:v>172</c:v>
                </c:pt>
                <c:pt idx="168">
                  <c:v>173</c:v>
                </c:pt>
                <c:pt idx="169">
                  <c:v>161</c:v>
                </c:pt>
                <c:pt idx="170">
                  <c:v>169</c:v>
                </c:pt>
                <c:pt idx="171">
                  <c:v>172</c:v>
                </c:pt>
                <c:pt idx="172">
                  <c:v>168</c:v>
                </c:pt>
                <c:pt idx="173">
                  <c:v>171</c:v>
                </c:pt>
                <c:pt idx="174">
                  <c:v>173</c:v>
                </c:pt>
                <c:pt idx="175">
                  <c:v>170</c:v>
                </c:pt>
                <c:pt idx="176">
                  <c:v>163</c:v>
                </c:pt>
                <c:pt idx="177">
                  <c:v>167</c:v>
                </c:pt>
                <c:pt idx="178">
                  <c:v>171</c:v>
                </c:pt>
                <c:pt idx="179">
                  <c:v>169</c:v>
                </c:pt>
                <c:pt idx="180">
                  <c:v>170</c:v>
                </c:pt>
                <c:pt idx="181">
                  <c:v>166</c:v>
                </c:pt>
                <c:pt idx="182">
                  <c:v>172</c:v>
                </c:pt>
                <c:pt idx="183">
                  <c:v>171</c:v>
                </c:pt>
                <c:pt idx="184">
                  <c:v>166</c:v>
                </c:pt>
                <c:pt idx="185">
                  <c:v>177</c:v>
                </c:pt>
                <c:pt idx="186">
                  <c:v>171</c:v>
                </c:pt>
                <c:pt idx="187">
                  <c:v>164</c:v>
                </c:pt>
                <c:pt idx="188">
                  <c:v>169</c:v>
                </c:pt>
                <c:pt idx="189">
                  <c:v>167</c:v>
                </c:pt>
                <c:pt idx="190">
                  <c:v>168</c:v>
                </c:pt>
                <c:pt idx="191">
                  <c:v>169</c:v>
                </c:pt>
                <c:pt idx="192">
                  <c:v>165</c:v>
                </c:pt>
                <c:pt idx="193">
                  <c:v>174</c:v>
                </c:pt>
                <c:pt idx="194">
                  <c:v>171</c:v>
                </c:pt>
                <c:pt idx="195">
                  <c:v>168</c:v>
                </c:pt>
                <c:pt idx="196">
                  <c:v>171</c:v>
                </c:pt>
                <c:pt idx="197">
                  <c:v>171</c:v>
                </c:pt>
                <c:pt idx="198">
                  <c:v>172</c:v>
                </c:pt>
                <c:pt idx="199">
                  <c:v>167</c:v>
                </c:pt>
              </c:numCache>
            </c:numRef>
          </c:xVal>
          <c:yVal>
            <c:numRef>
              <c:f>'1'!$C$2:$C$201</c:f>
              <c:numCache>
                <c:formatCode>General</c:formatCode>
                <c:ptCount val="200"/>
                <c:pt idx="0">
                  <c:v>73</c:v>
                </c:pt>
                <c:pt idx="1">
                  <c:v>63</c:v>
                </c:pt>
                <c:pt idx="2">
                  <c:v>75</c:v>
                </c:pt>
                <c:pt idx="3">
                  <c:v>60</c:v>
                </c:pt>
                <c:pt idx="4">
                  <c:v>56</c:v>
                </c:pt>
                <c:pt idx="5">
                  <c:v>59</c:v>
                </c:pt>
                <c:pt idx="6">
                  <c:v>61</c:v>
                </c:pt>
                <c:pt idx="7">
                  <c:v>62</c:v>
                </c:pt>
                <c:pt idx="8">
                  <c:v>65</c:v>
                </c:pt>
                <c:pt idx="9">
                  <c:v>60</c:v>
                </c:pt>
                <c:pt idx="10">
                  <c:v>62</c:v>
                </c:pt>
                <c:pt idx="11">
                  <c:v>70</c:v>
                </c:pt>
                <c:pt idx="12">
                  <c:v>61</c:v>
                </c:pt>
                <c:pt idx="13">
                  <c:v>74</c:v>
                </c:pt>
                <c:pt idx="14">
                  <c:v>60</c:v>
                </c:pt>
                <c:pt idx="15">
                  <c:v>66</c:v>
                </c:pt>
                <c:pt idx="16">
                  <c:v>84</c:v>
                </c:pt>
                <c:pt idx="17">
                  <c:v>58</c:v>
                </c:pt>
                <c:pt idx="18">
                  <c:v>75</c:v>
                </c:pt>
                <c:pt idx="19">
                  <c:v>69</c:v>
                </c:pt>
                <c:pt idx="20">
                  <c:v>64</c:v>
                </c:pt>
                <c:pt idx="21">
                  <c:v>71</c:v>
                </c:pt>
                <c:pt idx="22">
                  <c:v>64</c:v>
                </c:pt>
                <c:pt idx="23">
                  <c:v>74</c:v>
                </c:pt>
                <c:pt idx="24">
                  <c:v>70</c:v>
                </c:pt>
                <c:pt idx="25">
                  <c:v>69</c:v>
                </c:pt>
                <c:pt idx="26">
                  <c:v>64</c:v>
                </c:pt>
                <c:pt idx="27">
                  <c:v>55</c:v>
                </c:pt>
                <c:pt idx="28">
                  <c:v>67</c:v>
                </c:pt>
                <c:pt idx="29">
                  <c:v>61</c:v>
                </c:pt>
                <c:pt idx="30">
                  <c:v>63</c:v>
                </c:pt>
                <c:pt idx="31">
                  <c:v>75</c:v>
                </c:pt>
                <c:pt idx="32">
                  <c:v>59</c:v>
                </c:pt>
                <c:pt idx="33">
                  <c:v>62</c:v>
                </c:pt>
                <c:pt idx="34">
                  <c:v>60</c:v>
                </c:pt>
                <c:pt idx="35">
                  <c:v>66</c:v>
                </c:pt>
                <c:pt idx="36">
                  <c:v>63</c:v>
                </c:pt>
                <c:pt idx="37">
                  <c:v>62</c:v>
                </c:pt>
                <c:pt idx="38">
                  <c:v>66</c:v>
                </c:pt>
                <c:pt idx="39">
                  <c:v>63</c:v>
                </c:pt>
                <c:pt idx="40">
                  <c:v>70</c:v>
                </c:pt>
                <c:pt idx="41">
                  <c:v>67</c:v>
                </c:pt>
                <c:pt idx="42">
                  <c:v>59</c:v>
                </c:pt>
                <c:pt idx="43">
                  <c:v>53</c:v>
                </c:pt>
                <c:pt idx="44">
                  <c:v>60</c:v>
                </c:pt>
                <c:pt idx="45">
                  <c:v>57</c:v>
                </c:pt>
                <c:pt idx="46">
                  <c:v>68</c:v>
                </c:pt>
                <c:pt idx="47">
                  <c:v>67</c:v>
                </c:pt>
                <c:pt idx="48">
                  <c:v>75</c:v>
                </c:pt>
                <c:pt idx="49">
                  <c:v>61</c:v>
                </c:pt>
                <c:pt idx="50">
                  <c:v>66</c:v>
                </c:pt>
                <c:pt idx="51">
                  <c:v>63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64</c:v>
                </c:pt>
                <c:pt idx="56">
                  <c:v>59</c:v>
                </c:pt>
                <c:pt idx="57">
                  <c:v>62</c:v>
                </c:pt>
                <c:pt idx="58">
                  <c:v>69</c:v>
                </c:pt>
                <c:pt idx="59">
                  <c:v>65</c:v>
                </c:pt>
                <c:pt idx="60">
                  <c:v>69</c:v>
                </c:pt>
                <c:pt idx="61">
                  <c:v>61</c:v>
                </c:pt>
                <c:pt idx="62">
                  <c:v>61</c:v>
                </c:pt>
                <c:pt idx="63">
                  <c:v>66</c:v>
                </c:pt>
                <c:pt idx="64">
                  <c:v>69</c:v>
                </c:pt>
                <c:pt idx="65">
                  <c:v>66</c:v>
                </c:pt>
                <c:pt idx="66">
                  <c:v>76</c:v>
                </c:pt>
                <c:pt idx="67">
                  <c:v>51</c:v>
                </c:pt>
                <c:pt idx="68">
                  <c:v>60</c:v>
                </c:pt>
                <c:pt idx="69">
                  <c:v>74</c:v>
                </c:pt>
                <c:pt idx="70">
                  <c:v>70</c:v>
                </c:pt>
                <c:pt idx="71">
                  <c:v>64</c:v>
                </c:pt>
                <c:pt idx="72">
                  <c:v>70</c:v>
                </c:pt>
                <c:pt idx="73">
                  <c:v>64</c:v>
                </c:pt>
                <c:pt idx="74">
                  <c:v>76</c:v>
                </c:pt>
                <c:pt idx="75">
                  <c:v>63</c:v>
                </c:pt>
                <c:pt idx="76">
                  <c:v>75</c:v>
                </c:pt>
                <c:pt idx="77">
                  <c:v>57</c:v>
                </c:pt>
                <c:pt idx="78">
                  <c:v>62</c:v>
                </c:pt>
                <c:pt idx="79">
                  <c:v>58</c:v>
                </c:pt>
                <c:pt idx="80">
                  <c:v>81</c:v>
                </c:pt>
                <c:pt idx="81">
                  <c:v>67</c:v>
                </c:pt>
                <c:pt idx="82">
                  <c:v>57</c:v>
                </c:pt>
                <c:pt idx="83">
                  <c:v>68</c:v>
                </c:pt>
                <c:pt idx="84">
                  <c:v>73</c:v>
                </c:pt>
                <c:pt idx="85">
                  <c:v>60</c:v>
                </c:pt>
                <c:pt idx="86">
                  <c:v>57</c:v>
                </c:pt>
                <c:pt idx="87">
                  <c:v>52</c:v>
                </c:pt>
                <c:pt idx="88">
                  <c:v>59</c:v>
                </c:pt>
                <c:pt idx="89">
                  <c:v>71</c:v>
                </c:pt>
                <c:pt idx="90">
                  <c:v>55</c:v>
                </c:pt>
                <c:pt idx="91">
                  <c:v>63</c:v>
                </c:pt>
                <c:pt idx="92">
                  <c:v>50</c:v>
                </c:pt>
                <c:pt idx="93">
                  <c:v>70</c:v>
                </c:pt>
                <c:pt idx="94">
                  <c:v>72</c:v>
                </c:pt>
                <c:pt idx="95">
                  <c:v>67</c:v>
                </c:pt>
                <c:pt idx="96">
                  <c:v>84</c:v>
                </c:pt>
                <c:pt idx="97">
                  <c:v>68</c:v>
                </c:pt>
                <c:pt idx="98">
                  <c:v>61</c:v>
                </c:pt>
                <c:pt idx="99">
                  <c:v>73</c:v>
                </c:pt>
                <c:pt idx="100">
                  <c:v>50</c:v>
                </c:pt>
                <c:pt idx="101">
                  <c:v>59</c:v>
                </c:pt>
                <c:pt idx="102">
                  <c:v>66</c:v>
                </c:pt>
                <c:pt idx="103">
                  <c:v>63</c:v>
                </c:pt>
                <c:pt idx="104">
                  <c:v>60</c:v>
                </c:pt>
                <c:pt idx="105">
                  <c:v>62</c:v>
                </c:pt>
                <c:pt idx="106">
                  <c:v>55</c:v>
                </c:pt>
                <c:pt idx="107">
                  <c:v>65</c:v>
                </c:pt>
                <c:pt idx="108">
                  <c:v>72</c:v>
                </c:pt>
                <c:pt idx="109">
                  <c:v>55</c:v>
                </c:pt>
                <c:pt idx="110">
                  <c:v>69</c:v>
                </c:pt>
                <c:pt idx="111">
                  <c:v>80</c:v>
                </c:pt>
                <c:pt idx="112">
                  <c:v>65</c:v>
                </c:pt>
                <c:pt idx="113">
                  <c:v>67</c:v>
                </c:pt>
                <c:pt idx="114">
                  <c:v>59</c:v>
                </c:pt>
                <c:pt idx="115">
                  <c:v>81</c:v>
                </c:pt>
                <c:pt idx="116">
                  <c:v>68</c:v>
                </c:pt>
                <c:pt idx="117">
                  <c:v>59</c:v>
                </c:pt>
                <c:pt idx="118">
                  <c:v>71</c:v>
                </c:pt>
                <c:pt idx="119">
                  <c:v>69</c:v>
                </c:pt>
                <c:pt idx="120">
                  <c:v>77</c:v>
                </c:pt>
                <c:pt idx="121">
                  <c:v>65</c:v>
                </c:pt>
                <c:pt idx="122">
                  <c:v>78</c:v>
                </c:pt>
                <c:pt idx="123">
                  <c:v>52</c:v>
                </c:pt>
                <c:pt idx="124">
                  <c:v>72</c:v>
                </c:pt>
                <c:pt idx="125">
                  <c:v>67</c:v>
                </c:pt>
                <c:pt idx="126">
                  <c:v>77</c:v>
                </c:pt>
                <c:pt idx="127">
                  <c:v>61</c:v>
                </c:pt>
                <c:pt idx="128">
                  <c:v>64</c:v>
                </c:pt>
                <c:pt idx="129">
                  <c:v>56</c:v>
                </c:pt>
                <c:pt idx="130">
                  <c:v>62</c:v>
                </c:pt>
                <c:pt idx="131">
                  <c:v>63</c:v>
                </c:pt>
                <c:pt idx="132">
                  <c:v>63</c:v>
                </c:pt>
                <c:pt idx="133">
                  <c:v>63</c:v>
                </c:pt>
                <c:pt idx="134">
                  <c:v>67</c:v>
                </c:pt>
                <c:pt idx="135">
                  <c:v>71</c:v>
                </c:pt>
                <c:pt idx="136">
                  <c:v>66</c:v>
                </c:pt>
                <c:pt idx="137">
                  <c:v>62</c:v>
                </c:pt>
                <c:pt idx="138">
                  <c:v>65</c:v>
                </c:pt>
                <c:pt idx="139">
                  <c:v>80</c:v>
                </c:pt>
                <c:pt idx="140">
                  <c:v>59</c:v>
                </c:pt>
                <c:pt idx="141">
                  <c:v>64</c:v>
                </c:pt>
                <c:pt idx="142">
                  <c:v>66</c:v>
                </c:pt>
                <c:pt idx="143">
                  <c:v>78</c:v>
                </c:pt>
                <c:pt idx="144">
                  <c:v>70</c:v>
                </c:pt>
                <c:pt idx="145">
                  <c:v>67</c:v>
                </c:pt>
                <c:pt idx="146">
                  <c:v>67</c:v>
                </c:pt>
                <c:pt idx="147">
                  <c:v>62</c:v>
                </c:pt>
                <c:pt idx="148">
                  <c:v>74</c:v>
                </c:pt>
                <c:pt idx="149">
                  <c:v>60</c:v>
                </c:pt>
                <c:pt idx="150">
                  <c:v>60</c:v>
                </c:pt>
                <c:pt idx="151">
                  <c:v>63</c:v>
                </c:pt>
                <c:pt idx="152">
                  <c:v>57</c:v>
                </c:pt>
                <c:pt idx="153">
                  <c:v>67</c:v>
                </c:pt>
                <c:pt idx="154">
                  <c:v>67</c:v>
                </c:pt>
                <c:pt idx="155">
                  <c:v>70</c:v>
                </c:pt>
                <c:pt idx="156">
                  <c:v>54</c:v>
                </c:pt>
                <c:pt idx="157">
                  <c:v>60</c:v>
                </c:pt>
                <c:pt idx="158">
                  <c:v>66</c:v>
                </c:pt>
                <c:pt idx="159">
                  <c:v>79</c:v>
                </c:pt>
                <c:pt idx="160">
                  <c:v>61</c:v>
                </c:pt>
                <c:pt idx="161">
                  <c:v>71</c:v>
                </c:pt>
                <c:pt idx="162">
                  <c:v>66</c:v>
                </c:pt>
                <c:pt idx="163">
                  <c:v>69</c:v>
                </c:pt>
                <c:pt idx="164">
                  <c:v>68</c:v>
                </c:pt>
                <c:pt idx="165">
                  <c:v>61</c:v>
                </c:pt>
                <c:pt idx="166">
                  <c:v>69</c:v>
                </c:pt>
                <c:pt idx="167">
                  <c:v>74</c:v>
                </c:pt>
                <c:pt idx="168">
                  <c:v>69</c:v>
                </c:pt>
                <c:pt idx="169">
                  <c:v>55</c:v>
                </c:pt>
                <c:pt idx="170">
                  <c:v>61</c:v>
                </c:pt>
                <c:pt idx="171">
                  <c:v>63</c:v>
                </c:pt>
                <c:pt idx="172">
                  <c:v>70</c:v>
                </c:pt>
                <c:pt idx="173">
                  <c:v>66</c:v>
                </c:pt>
                <c:pt idx="174">
                  <c:v>65</c:v>
                </c:pt>
                <c:pt idx="175">
                  <c:v>61</c:v>
                </c:pt>
                <c:pt idx="176">
                  <c:v>65</c:v>
                </c:pt>
                <c:pt idx="177">
                  <c:v>55</c:v>
                </c:pt>
                <c:pt idx="178">
                  <c:v>70</c:v>
                </c:pt>
                <c:pt idx="179">
                  <c:v>70</c:v>
                </c:pt>
                <c:pt idx="180">
                  <c:v>63</c:v>
                </c:pt>
                <c:pt idx="181">
                  <c:v>63</c:v>
                </c:pt>
                <c:pt idx="182">
                  <c:v>65</c:v>
                </c:pt>
                <c:pt idx="183">
                  <c:v>64</c:v>
                </c:pt>
                <c:pt idx="184">
                  <c:v>78</c:v>
                </c:pt>
                <c:pt idx="185">
                  <c:v>72</c:v>
                </c:pt>
                <c:pt idx="186">
                  <c:v>66</c:v>
                </c:pt>
                <c:pt idx="187">
                  <c:v>62</c:v>
                </c:pt>
                <c:pt idx="188">
                  <c:v>66</c:v>
                </c:pt>
                <c:pt idx="189">
                  <c:v>67</c:v>
                </c:pt>
                <c:pt idx="190">
                  <c:v>67</c:v>
                </c:pt>
                <c:pt idx="191">
                  <c:v>66</c:v>
                </c:pt>
                <c:pt idx="192">
                  <c:v>63</c:v>
                </c:pt>
                <c:pt idx="193">
                  <c:v>74</c:v>
                </c:pt>
                <c:pt idx="194">
                  <c:v>69</c:v>
                </c:pt>
                <c:pt idx="195">
                  <c:v>70</c:v>
                </c:pt>
                <c:pt idx="196">
                  <c:v>65</c:v>
                </c:pt>
                <c:pt idx="197">
                  <c:v>69</c:v>
                </c:pt>
                <c:pt idx="198">
                  <c:v>69</c:v>
                </c:pt>
                <c:pt idx="19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E-B545-8C3E-472BB2D01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881055"/>
        <c:axId val="594456399"/>
      </c:scatterChart>
      <c:valAx>
        <c:axId val="705881055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effectLst>
                  <a:outerShdw blurRad="50800" dist="50800" dir="5400000" sx="1000" sy="1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4456399"/>
        <c:crosses val="autoZero"/>
        <c:crossBetween val="midCat"/>
      </c:valAx>
      <c:valAx>
        <c:axId val="59445639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88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+mn-lt"/>
                <a:ea typeface="+mn-ea"/>
                <a:cs typeface="+mn-cs"/>
              </a:defRPr>
            </a:pPr>
            <a:r>
              <a:rPr lang="ru-RU" b="1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</a:rPr>
              <a:t>График линии регрессии и точек условных средних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'14'!$A$10:$A$19</c:f>
              <c:numCache>
                <c:formatCode>General</c:formatCode>
                <c:ptCount val="10"/>
                <c:pt idx="0">
                  <c:v>157.55000000000001</c:v>
                </c:pt>
                <c:pt idx="1">
                  <c:v>160.64999999999998</c:v>
                </c:pt>
                <c:pt idx="2">
                  <c:v>163.75</c:v>
                </c:pt>
                <c:pt idx="3">
                  <c:v>166.84999999999997</c:v>
                </c:pt>
                <c:pt idx="4">
                  <c:v>169.95</c:v>
                </c:pt>
                <c:pt idx="5">
                  <c:v>173.04999999999995</c:v>
                </c:pt>
                <c:pt idx="6">
                  <c:v>176.14999999999998</c:v>
                </c:pt>
                <c:pt idx="7">
                  <c:v>179.24999999999994</c:v>
                </c:pt>
                <c:pt idx="8">
                  <c:v>182.34999999999997</c:v>
                </c:pt>
                <c:pt idx="9">
                  <c:v>185.44999999999993</c:v>
                </c:pt>
              </c:numCache>
            </c:numRef>
          </c:xVal>
          <c:yVal>
            <c:numRef>
              <c:f>'14'!$B$10:$B$19</c:f>
              <c:numCache>
                <c:formatCode>General</c:formatCode>
                <c:ptCount val="10"/>
                <c:pt idx="0">
                  <c:v>56.988888888888887</c:v>
                </c:pt>
                <c:pt idx="1">
                  <c:v>57.263636363636351</c:v>
                </c:pt>
                <c:pt idx="2">
                  <c:v>62.021428571428565</c:v>
                </c:pt>
                <c:pt idx="3">
                  <c:v>63.162857142857149</c:v>
                </c:pt>
                <c:pt idx="4">
                  <c:v>65.992592592592601</c:v>
                </c:pt>
                <c:pt idx="5">
                  <c:v>69.343243243243236</c:v>
                </c:pt>
                <c:pt idx="6">
                  <c:v>73.233333333333348</c:v>
                </c:pt>
                <c:pt idx="7">
                  <c:v>70.400000000000006</c:v>
                </c:pt>
                <c:pt idx="8">
                  <c:v>65.3</c:v>
                </c:pt>
                <c:pt idx="9">
                  <c:v>78.90000000000002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D-B243-872F-3A012D3DE18D}"/>
            </c:ext>
          </c:extLst>
        </c:ser>
        <c:ser>
          <c:idx val="0"/>
          <c:order val="1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'14'!$A$2:$A$4</c:f>
              <c:numCache>
                <c:formatCode>General</c:formatCode>
                <c:ptCount val="3"/>
                <c:pt idx="0">
                  <c:v>156</c:v>
                </c:pt>
                <c:pt idx="1">
                  <c:v>169.17499999999995</c:v>
                </c:pt>
                <c:pt idx="2">
                  <c:v>187</c:v>
                </c:pt>
              </c:numCache>
            </c:numRef>
          </c:xVal>
          <c:yVal>
            <c:numRef>
              <c:f>'14'!$B$2:$B$4</c:f>
              <c:numCache>
                <c:formatCode>General</c:formatCode>
                <c:ptCount val="3"/>
                <c:pt idx="0">
                  <c:v>50</c:v>
                </c:pt>
                <c:pt idx="1">
                  <c:v>65.521000000000001</c:v>
                </c:pt>
                <c:pt idx="2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D-B243-872F-3A012D3DE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482080"/>
        <c:axId val="1085484352"/>
      </c:scatterChart>
      <c:valAx>
        <c:axId val="1085482080"/>
        <c:scaling>
          <c:orientation val="minMax"/>
          <c:max val="195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484352"/>
        <c:crosses val="autoZero"/>
        <c:crossBetween val="midCat"/>
      </c:valAx>
      <c:valAx>
        <c:axId val="1085484352"/>
        <c:scaling>
          <c:orientation val="minMax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48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25399</xdr:colOff>
      <xdr:row>1</xdr:row>
      <xdr:rowOff>109080</xdr:rowOff>
    </xdr:from>
    <xdr:to>
      <xdr:col>1</xdr:col>
      <xdr:colOff>646686</xdr:colOff>
      <xdr:row>1</xdr:row>
      <xdr:rowOff>475276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2C3CADA-E690-A762-C032-3CDF8B1C796E}"/>
                </a:ext>
              </a:extLst>
            </xdr:cNvPr>
            <xdr:cNvSpPr txBox="1"/>
          </xdr:nvSpPr>
          <xdr:spPr>
            <a:xfrm>
              <a:off x="1918712" y="311657"/>
              <a:ext cx="621287" cy="366196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2C3CADA-E690-A762-C032-3CDF8B1C796E}"/>
                </a:ext>
              </a:extLst>
            </xdr:cNvPr>
            <xdr:cNvSpPr txBox="1"/>
          </xdr:nvSpPr>
          <xdr:spPr>
            <a:xfrm>
              <a:off x="1918712" y="311657"/>
              <a:ext cx="621287" cy="366196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25400</xdr:colOff>
      <xdr:row>1</xdr:row>
      <xdr:rowOff>110067</xdr:rowOff>
    </xdr:from>
    <xdr:to>
      <xdr:col>2</xdr:col>
      <xdr:colOff>646687</xdr:colOff>
      <xdr:row>1</xdr:row>
      <xdr:rowOff>476674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295F70-F411-491C-3346-76C3E87E366F}"/>
                </a:ext>
              </a:extLst>
            </xdr:cNvPr>
            <xdr:cNvSpPr txBox="1"/>
          </xdr:nvSpPr>
          <xdr:spPr>
            <a:xfrm>
              <a:off x="2592639" y="314357"/>
              <a:ext cx="621287" cy="366607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F295F70-F411-491C-3346-76C3E87E366F}"/>
                </a:ext>
              </a:extLst>
            </xdr:cNvPr>
            <xdr:cNvSpPr txBox="1"/>
          </xdr:nvSpPr>
          <xdr:spPr>
            <a:xfrm>
              <a:off x="2592639" y="314357"/>
              <a:ext cx="621287" cy="366607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24423</xdr:colOff>
      <xdr:row>2</xdr:row>
      <xdr:rowOff>30529</xdr:rowOff>
    </xdr:from>
    <xdr:to>
      <xdr:col>0</xdr:col>
      <xdr:colOff>1871133</xdr:colOff>
      <xdr:row>2</xdr:row>
      <xdr:rowOff>415192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8E76060-1701-5012-F642-2ADD3AF7271E}"/>
                </a:ext>
              </a:extLst>
            </xdr:cNvPr>
            <xdr:cNvSpPr txBox="1"/>
          </xdr:nvSpPr>
          <xdr:spPr>
            <a:xfrm>
              <a:off x="24423" y="834862"/>
              <a:ext cx="1846710" cy="384663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8E76060-1701-5012-F642-2ADD3AF7271E}"/>
                </a:ext>
              </a:extLst>
            </xdr:cNvPr>
            <xdr:cNvSpPr txBox="1"/>
          </xdr:nvSpPr>
          <xdr:spPr>
            <a:xfrm>
              <a:off x="24423" y="834862"/>
              <a:ext cx="1846710" cy="384663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(𝑥_𝑚𝑎𝑥  − 𝑥_𝑚𝑖𝑛)</a:t>
              </a:r>
              <a:r>
                <a:rPr lang="ru-RU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𝑘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8</xdr:col>
      <xdr:colOff>273050</xdr:colOff>
      <xdr:row>19</xdr:row>
      <xdr:rowOff>146050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3831BD3-31A3-8F4D-8CA4-30550F90FFBA}"/>
            </a:ext>
          </a:extLst>
        </xdr:cNvPr>
        <xdr:cNvSpPr txBox="1"/>
      </xdr:nvSpPr>
      <xdr:spPr>
        <a:xfrm>
          <a:off x="9302750" y="6203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38099</xdr:colOff>
      <xdr:row>9</xdr:row>
      <xdr:rowOff>25400</xdr:rowOff>
    </xdr:from>
    <xdr:ext cx="608588" cy="1771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9705936-0AD6-5D46-9B3C-10309A2C2A09}"/>
                </a:ext>
              </a:extLst>
            </xdr:cNvPr>
            <xdr:cNvSpPr txBox="1"/>
          </xdr:nvSpPr>
          <xdr:spPr>
            <a:xfrm flipH="1">
              <a:off x="2601473" y="2503069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9705936-0AD6-5D46-9B3C-10309A2C2A09}"/>
                </a:ext>
              </a:extLst>
            </xdr:cNvPr>
            <xdr:cNvSpPr txBox="1"/>
          </xdr:nvSpPr>
          <xdr:spPr>
            <a:xfrm flipH="1">
              <a:off x="2601473" y="2503069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670061</xdr:colOff>
      <xdr:row>9</xdr:row>
      <xdr:rowOff>38101</xdr:rowOff>
    </xdr:from>
    <xdr:ext cx="646687" cy="1722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7A115D-30FE-434F-B563-CD649ED96641}"/>
                </a:ext>
              </a:extLst>
            </xdr:cNvPr>
            <xdr:cNvSpPr txBox="1"/>
          </xdr:nvSpPr>
          <xdr:spPr>
            <a:xfrm flipH="1">
              <a:off x="3233435" y="2515770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37A115D-30FE-434F-B563-CD649ED96641}"/>
                </a:ext>
              </a:extLst>
            </xdr:cNvPr>
            <xdr:cNvSpPr txBox="1"/>
          </xdr:nvSpPr>
          <xdr:spPr>
            <a:xfrm flipH="1">
              <a:off x="3233435" y="2515770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38099</xdr:colOff>
      <xdr:row>9</xdr:row>
      <xdr:rowOff>25401</xdr:rowOff>
    </xdr:from>
    <xdr:to>
      <xdr:col>7</xdr:col>
      <xdr:colOff>638894</xdr:colOff>
      <xdr:row>9</xdr:row>
      <xdr:rowOff>179203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8D8C9AC-2223-2F45-B849-809476CB6C49}"/>
                </a:ext>
              </a:extLst>
            </xdr:cNvPr>
            <xdr:cNvSpPr txBox="1"/>
          </xdr:nvSpPr>
          <xdr:spPr>
            <a:xfrm flipH="1">
              <a:off x="5928406" y="2503070"/>
              <a:ext cx="600795" cy="1538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8D8C9AC-2223-2F45-B849-809476CB6C49}"/>
                </a:ext>
              </a:extLst>
            </xdr:cNvPr>
            <xdr:cNvSpPr txBox="1"/>
          </xdr:nvSpPr>
          <xdr:spPr>
            <a:xfrm flipH="1">
              <a:off x="5928406" y="2503070"/>
              <a:ext cx="600795" cy="1538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8</xdr:col>
      <xdr:colOff>12700</xdr:colOff>
      <xdr:row>9</xdr:row>
      <xdr:rowOff>25400</xdr:rowOff>
    </xdr:from>
    <xdr:ext cx="641779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4D965A5-42CB-1246-B3A6-46C4A4D632C5}"/>
                </a:ext>
              </a:extLst>
            </xdr:cNvPr>
            <xdr:cNvSpPr txBox="1"/>
          </xdr:nvSpPr>
          <xdr:spPr>
            <a:xfrm flipH="1">
              <a:off x="6573068" y="2503069"/>
              <a:ext cx="6417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4D965A5-42CB-1246-B3A6-46C4A4D632C5}"/>
                </a:ext>
              </a:extLst>
            </xdr:cNvPr>
            <xdr:cNvSpPr txBox="1"/>
          </xdr:nvSpPr>
          <xdr:spPr>
            <a:xfrm flipH="1">
              <a:off x="6573068" y="2503069"/>
              <a:ext cx="64177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</xdr:col>
      <xdr:colOff>660399</xdr:colOff>
      <xdr:row>9</xdr:row>
      <xdr:rowOff>0</xdr:rowOff>
    </xdr:from>
    <xdr:to>
      <xdr:col>4</xdr:col>
      <xdr:colOff>649371</xdr:colOff>
      <xdr:row>9</xdr:row>
      <xdr:rowOff>210368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26138F-1497-A545-B12F-27030F927CF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893835" y="2477669"/>
              <a:ext cx="651242" cy="21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𝜈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26138F-1497-A545-B12F-27030F927CF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893835" y="2477669"/>
              <a:ext cx="651242" cy="2103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𝜈_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200"/>
            </a:p>
          </xdr:txBody>
        </xdr:sp>
      </mc:Fallback>
    </mc:AlternateContent>
    <xdr:clientData/>
  </xdr:twoCellAnchor>
  <xdr:twoCellAnchor>
    <xdr:from>
      <xdr:col>9</xdr:col>
      <xdr:colOff>0</xdr:colOff>
      <xdr:row>9</xdr:row>
      <xdr:rowOff>0</xdr:rowOff>
    </xdr:from>
    <xdr:to>
      <xdr:col>9</xdr:col>
      <xdr:colOff>666358</xdr:colOff>
      <xdr:row>9</xdr:row>
      <xdr:rowOff>206712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E8FD30F-9526-AB49-AC97-F1BF52017F3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235864" y="2477284"/>
              <a:ext cx="666358" cy="206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𝜈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E8FD30F-9526-AB49-AC97-F1BF52017F3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235864" y="2477284"/>
              <a:ext cx="666358" cy="206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𝜈_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12701</xdr:colOff>
      <xdr:row>4</xdr:row>
      <xdr:rowOff>12699</xdr:rowOff>
    </xdr:from>
    <xdr:to>
      <xdr:col>2</xdr:col>
      <xdr:colOff>5887</xdr:colOff>
      <xdr:row>4</xdr:row>
      <xdr:rowOff>423332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57E8F0-2F36-BB4C-BB9F-0AA1A821F74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736110" y="1821487"/>
              <a:ext cx="1455610" cy="4106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𝜈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157E8F0-2F36-BB4C-BB9F-0AA1A821F74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736110" y="1821487"/>
              <a:ext cx="1455610" cy="4106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𝜈_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19243</xdr:colOff>
      <xdr:row>15</xdr:row>
      <xdr:rowOff>12699</xdr:rowOff>
    </xdr:from>
    <xdr:to>
      <xdr:col>0</xdr:col>
      <xdr:colOff>1257300</xdr:colOff>
      <xdr:row>15</xdr:row>
      <xdr:rowOff>202044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99A69-6C93-094B-85F3-49B3567DF103}"/>
                </a:ext>
              </a:extLst>
            </xdr:cNvPr>
            <xdr:cNvSpPr txBox="1"/>
          </xdr:nvSpPr>
          <xdr:spPr>
            <a:xfrm>
              <a:off x="2482273" y="4274896"/>
              <a:ext cx="12380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99A69-6C93-094B-85F3-49B3567DF103}"/>
                </a:ext>
              </a:extLst>
            </xdr:cNvPr>
            <xdr:cNvSpPr txBox="1"/>
          </xdr:nvSpPr>
          <xdr:spPr>
            <a:xfrm>
              <a:off x="2482273" y="4274896"/>
              <a:ext cx="12380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7427</xdr:colOff>
      <xdr:row>4</xdr:row>
      <xdr:rowOff>26830</xdr:rowOff>
    </xdr:from>
    <xdr:ext cx="816959" cy="282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3377FCA-80AA-004B-A10B-BDDFE9A478E8}"/>
                </a:ext>
              </a:extLst>
            </xdr:cNvPr>
            <xdr:cNvSpPr txBox="1"/>
          </xdr:nvSpPr>
          <xdr:spPr>
            <a:xfrm>
              <a:off x="1661629" y="1499603"/>
              <a:ext cx="816959" cy="282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3377FCA-80AA-004B-A10B-BDDFE9A478E8}"/>
                </a:ext>
              </a:extLst>
            </xdr:cNvPr>
            <xdr:cNvSpPr txBox="1"/>
          </xdr:nvSpPr>
          <xdr:spPr>
            <a:xfrm>
              <a:off x="1661629" y="1499603"/>
              <a:ext cx="816959" cy="282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𝑣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</xdr:col>
      <xdr:colOff>25400</xdr:colOff>
      <xdr:row>4</xdr:row>
      <xdr:rowOff>21345</xdr:rowOff>
    </xdr:from>
    <xdr:to>
      <xdr:col>3</xdr:col>
      <xdr:colOff>812800</xdr:colOff>
      <xdr:row>4</xdr:row>
      <xdr:rowOff>320168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8848D5C-ED27-6748-9F37-A0FAB54AD8B8}"/>
                </a:ext>
              </a:extLst>
            </xdr:cNvPr>
            <xdr:cNvSpPr txBox="1"/>
          </xdr:nvSpPr>
          <xdr:spPr>
            <a:xfrm>
              <a:off x="2490694" y="1494118"/>
              <a:ext cx="787400" cy="298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8848D5C-ED27-6748-9F37-A0FAB54AD8B8}"/>
                </a:ext>
              </a:extLst>
            </xdr:cNvPr>
            <xdr:cNvSpPr txBox="1"/>
          </xdr:nvSpPr>
          <xdr:spPr>
            <a:xfrm>
              <a:off x="2490694" y="1494118"/>
              <a:ext cx="787400" cy="298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4</xdr:col>
      <xdr:colOff>0</xdr:colOff>
      <xdr:row>4</xdr:row>
      <xdr:rowOff>25400</xdr:rowOff>
    </xdr:from>
    <xdr:to>
      <xdr:col>5</xdr:col>
      <xdr:colOff>0</xdr:colOff>
      <xdr:row>5</xdr:row>
      <xdr:rowOff>12700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1C17A84-4056-B340-8DFD-1499E4E22C01}"/>
                </a:ext>
              </a:extLst>
            </xdr:cNvPr>
            <xdr:cNvSpPr txBox="1"/>
          </xdr:nvSpPr>
          <xdr:spPr>
            <a:xfrm>
              <a:off x="6972300" y="1803400"/>
              <a:ext cx="825500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1C17A84-4056-B340-8DFD-1499E4E22C01}"/>
                </a:ext>
              </a:extLst>
            </xdr:cNvPr>
            <xdr:cNvSpPr txBox="1"/>
          </xdr:nvSpPr>
          <xdr:spPr>
            <a:xfrm>
              <a:off x="6972300" y="1803400"/>
              <a:ext cx="825500" cy="342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^∗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29084</xdr:colOff>
      <xdr:row>0</xdr:row>
      <xdr:rowOff>29084</xdr:rowOff>
    </xdr:from>
    <xdr:to>
      <xdr:col>4</xdr:col>
      <xdr:colOff>804657</xdr:colOff>
      <xdr:row>0</xdr:row>
      <xdr:rowOff>746489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5AE0C5F-8792-D14D-83FE-E08D380742A0}"/>
                </a:ext>
              </a:extLst>
            </xdr:cNvPr>
            <xdr:cNvSpPr txBox="1"/>
          </xdr:nvSpPr>
          <xdr:spPr>
            <a:xfrm>
              <a:off x="2501221" y="29084"/>
              <a:ext cx="1599619" cy="717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  <a:p>
              <a:pPr algn="ctr"/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5AE0C5F-8792-D14D-83FE-E08D380742A0}"/>
                </a:ext>
              </a:extLst>
            </xdr:cNvPr>
            <xdr:cNvSpPr txBox="1"/>
          </xdr:nvSpPr>
          <xdr:spPr>
            <a:xfrm>
              <a:off x="2501221" y="29084"/>
              <a:ext cx="1599619" cy="717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− 𝑎_𝑖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en-US" sz="1100"/>
            </a:p>
            <a:p>
              <a:pPr algn="ctr"/>
              <a:endParaRPr lang="ru-RU" sz="1100"/>
            </a:p>
          </xdr:txBody>
        </xdr:sp>
      </mc:Fallback>
    </mc:AlternateContent>
    <xdr:clientData/>
  </xdr:twoCellAnchor>
  <xdr:twoCellAnchor>
    <xdr:from>
      <xdr:col>6</xdr:col>
      <xdr:colOff>16934</xdr:colOff>
      <xdr:row>0</xdr:row>
      <xdr:rowOff>16932</xdr:rowOff>
    </xdr:from>
    <xdr:to>
      <xdr:col>14</xdr:col>
      <xdr:colOff>8466</xdr:colOff>
      <xdr:row>11</xdr:row>
      <xdr:rowOff>8465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49906D3A-FB68-5C45-ECCC-8A452E03B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8467</xdr:colOff>
      <xdr:row>13</xdr:row>
      <xdr:rowOff>8466</xdr:rowOff>
    </xdr:from>
    <xdr:to>
      <xdr:col>14</xdr:col>
      <xdr:colOff>8466</xdr:colOff>
      <xdr:row>27</xdr:row>
      <xdr:rowOff>186267</xdr:rowOff>
    </xdr:to>
    <xdr:graphicFrame macro="">
      <xdr:nvGraphicFramePr>
        <xdr:cNvPr id="34" name="Диаграмма 33">
          <a:extLst>
            <a:ext uri="{FF2B5EF4-FFF2-40B4-BE49-F238E27FC236}">
              <a16:creationId xmlns:a16="http://schemas.microsoft.com/office/drawing/2014/main" id="{441C78CB-B94A-1CB3-263D-BA66C124D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10675</xdr:colOff>
      <xdr:row>30</xdr:row>
      <xdr:rowOff>10674</xdr:rowOff>
    </xdr:from>
    <xdr:to>
      <xdr:col>14</xdr:col>
      <xdr:colOff>13369</xdr:colOff>
      <xdr:row>45</xdr:row>
      <xdr:rowOff>6684</xdr:rowOff>
    </xdr:to>
    <xdr:graphicFrame macro="">
      <xdr:nvGraphicFramePr>
        <xdr:cNvPr id="35" name="Диаграмма 34">
          <a:extLst>
            <a:ext uri="{FF2B5EF4-FFF2-40B4-BE49-F238E27FC236}">
              <a16:creationId xmlns:a16="http://schemas.microsoft.com/office/drawing/2014/main" id="{BF4AE1A3-5E16-E28A-2494-5B50F86B1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423334</xdr:colOff>
      <xdr:row>0</xdr:row>
      <xdr:rowOff>234950</xdr:rowOff>
    </xdr:from>
    <xdr:ext cx="317500" cy="17209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68683A0-0E50-DB4B-96F9-D42867AD7152}"/>
            </a:ext>
          </a:extLst>
        </xdr:cNvPr>
        <xdr:cNvSpPr txBox="1"/>
      </xdr:nvSpPr>
      <xdr:spPr>
        <a:xfrm>
          <a:off x="423334" y="234950"/>
          <a:ext cx="317500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spAutoFit/>
        </a:bodyPr>
        <a:lstStyle/>
        <a:p>
          <a:pPr/>
          <a:endParaRPr lang="ru-RU" sz="1100"/>
        </a:p>
      </xdr:txBody>
    </xdr:sp>
    <xdr:clientData/>
  </xdr:oneCellAnchor>
  <xdr:oneCellAnchor>
    <xdr:from>
      <xdr:col>1</xdr:col>
      <xdr:colOff>42334</xdr:colOff>
      <xdr:row>0</xdr:row>
      <xdr:rowOff>44450</xdr:rowOff>
    </xdr:from>
    <xdr:ext cx="3175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733C6ED-D849-EA4C-B422-4F56F21985B9}"/>
                </a:ext>
              </a:extLst>
            </xdr:cNvPr>
            <xdr:cNvSpPr txBox="1"/>
          </xdr:nvSpPr>
          <xdr:spPr>
            <a:xfrm>
              <a:off x="1553634" y="444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733C6ED-D849-EA4C-B422-4F56F21985B9}"/>
                </a:ext>
              </a:extLst>
            </xdr:cNvPr>
            <xdr:cNvSpPr txBox="1"/>
          </xdr:nvSpPr>
          <xdr:spPr>
            <a:xfrm>
              <a:off x="1553634" y="444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738717</xdr:colOff>
      <xdr:row>0</xdr:row>
      <xdr:rowOff>209550</xdr:rowOff>
    </xdr:from>
    <xdr:ext cx="3175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826AD0-AA29-544A-B06C-22F4478133DC}"/>
                </a:ext>
              </a:extLst>
            </xdr:cNvPr>
            <xdr:cNvSpPr txBox="1"/>
          </xdr:nvSpPr>
          <xdr:spPr>
            <a:xfrm>
              <a:off x="2250017" y="2095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826AD0-AA29-544A-B06C-22F4478133DC}"/>
                </a:ext>
              </a:extLst>
            </xdr:cNvPr>
            <xdr:cNvSpPr txBox="1"/>
          </xdr:nvSpPr>
          <xdr:spPr>
            <a:xfrm>
              <a:off x="2250017" y="2095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114300</xdr:colOff>
      <xdr:row>0</xdr:row>
      <xdr:rowOff>95250</xdr:rowOff>
    </xdr:from>
    <xdr:to>
      <xdr:col>0</xdr:col>
      <xdr:colOff>1390650</xdr:colOff>
      <xdr:row>0</xdr:row>
      <xdr:rowOff>506003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58F7BC4-C60F-8149-AAD1-E79283909D7A}"/>
                </a:ext>
              </a:extLst>
            </xdr:cNvPr>
            <xdr:cNvSpPr txBox="1"/>
          </xdr:nvSpPr>
          <xdr:spPr>
            <a:xfrm>
              <a:off x="114300" y="95250"/>
              <a:ext cx="1276350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58F7BC4-C60F-8149-AAD1-E79283909D7A}"/>
                </a:ext>
              </a:extLst>
            </xdr:cNvPr>
            <xdr:cNvSpPr txBox="1"/>
          </xdr:nvSpPr>
          <xdr:spPr>
            <a:xfrm>
              <a:off x="114300" y="95250"/>
              <a:ext cx="1276350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=1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_𝑖▒𝑐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 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196851</xdr:colOff>
      <xdr:row>1</xdr:row>
      <xdr:rowOff>12700</xdr:rowOff>
    </xdr:from>
    <xdr:to>
      <xdr:col>0</xdr:col>
      <xdr:colOff>1422400</xdr:colOff>
      <xdr:row>1</xdr:row>
      <xdr:rowOff>427990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742B6AD-AB2C-3045-887F-1AF005375D17}"/>
                </a:ext>
              </a:extLst>
            </xdr:cNvPr>
            <xdr:cNvSpPr txBox="1"/>
          </xdr:nvSpPr>
          <xdr:spPr>
            <a:xfrm>
              <a:off x="196851" y="596900"/>
              <a:ext cx="1225549" cy="415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</m:den>
                  </m:f>
                  <m:nary>
                    <m:naryPr>
                      <m:chr m:val="∑"/>
                      <m:supHide m:val="on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7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  <m:sup/>
                    <m:e>
                      <m:sSubSup>
                        <m:sSubSupPr>
                          <m:ctrlPr>
                            <a:rPr lang="ru-RU" sz="1100" i="1">
                              <a:latin typeface="Cambria Math" panose="02040503050406030204" pitchFamily="18" charset="0"/>
                            </a:rPr>
                          </m:ctrlPr>
                        </m:sSub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𝑐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bSup>
                    </m:e>
                  </m:nary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acc>
                        <m:accPr>
                          <m:chr m:val="̅"/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</m:acc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742B6AD-AB2C-3045-887F-1AF005375D17}"/>
                </a:ext>
              </a:extLst>
            </xdr:cNvPr>
            <xdr:cNvSpPr txBox="1"/>
          </xdr:nvSpPr>
          <xdr:spPr>
            <a:xfrm>
              <a:off x="196851" y="596900"/>
              <a:ext cx="1225549" cy="4152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в</a:t>
              </a:r>
              <a:r>
                <a:rPr lang="en-US" sz="1100" b="0" i="0">
                  <a:latin typeface="Cambria Math" panose="02040503050406030204" pitchFamily="18" charset="0"/>
                </a:rPr>
                <a:t>=1</a:t>
              </a:r>
              <a:r>
                <a:rPr lang="ru-RU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_𝑖▒𝑐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𝑖^2 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𝑖−𝑥 ̅^2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1</xdr:col>
      <xdr:colOff>4234</xdr:colOff>
      <xdr:row>1</xdr:row>
      <xdr:rowOff>44450</xdr:rowOff>
    </xdr:from>
    <xdr:ext cx="3175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C10231F-3469-C44C-A4C5-5043346DFB66}"/>
                </a:ext>
              </a:extLst>
            </xdr:cNvPr>
            <xdr:cNvSpPr txBox="1"/>
          </xdr:nvSpPr>
          <xdr:spPr>
            <a:xfrm>
              <a:off x="1515534" y="6286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C10231F-3469-C44C-A4C5-5043346DFB66}"/>
                </a:ext>
              </a:extLst>
            </xdr:cNvPr>
            <xdr:cNvSpPr txBox="1"/>
          </xdr:nvSpPr>
          <xdr:spPr>
            <a:xfrm>
              <a:off x="1515534" y="628650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277283</xdr:colOff>
      <xdr:row>2</xdr:row>
      <xdr:rowOff>224367</xdr:rowOff>
    </xdr:from>
    <xdr:to>
      <xdr:col>0</xdr:col>
      <xdr:colOff>1111250</xdr:colOff>
      <xdr:row>2</xdr:row>
      <xdr:rowOff>508001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B623477-5BDC-284F-8B29-9479B7B3B739}"/>
                </a:ext>
              </a:extLst>
            </xdr:cNvPr>
            <xdr:cNvSpPr txBox="1"/>
          </xdr:nvSpPr>
          <xdr:spPr>
            <a:xfrm>
              <a:off x="277283" y="1240367"/>
              <a:ext cx="833967" cy="283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𝒮</m:t>
                          </m:r>
                        </m:e>
                        <m:sup>
                          <m:r>
                            <a:rPr lang="ru-RU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  <m:r>
                        <a:rPr lang="ru-RU" sz="11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ru-RU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 −1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</m:t>
                      </m:r>
                    </m:sub>
                  </m:sSub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B623477-5BDC-284F-8B29-9479B7B3B739}"/>
                </a:ext>
              </a:extLst>
            </xdr:cNvPr>
            <xdr:cNvSpPr txBox="1"/>
          </xdr:nvSpPr>
          <xdr:spPr>
            <a:xfrm>
              <a:off x="277283" y="1240367"/>
              <a:ext cx="833967" cy="283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2=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𝑛 −1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 𝐷〗_</a:t>
              </a:r>
              <a:r>
                <a:rPr lang="ru-RU" sz="1100" b="0" i="0">
                  <a:latin typeface="Cambria Math" panose="02040503050406030204" pitchFamily="18" charset="0"/>
                </a:rPr>
                <a:t>в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0</xdr:col>
      <xdr:colOff>1452034</xdr:colOff>
      <xdr:row>2</xdr:row>
      <xdr:rowOff>88900</xdr:rowOff>
    </xdr:from>
    <xdr:ext cx="317500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195939-C517-0340-BEB6-18338DDCFBD6}"/>
                </a:ext>
              </a:extLst>
            </xdr:cNvPr>
            <xdr:cNvSpPr txBox="1"/>
          </xdr:nvSpPr>
          <xdr:spPr>
            <a:xfrm>
              <a:off x="1452034" y="1054100"/>
              <a:ext cx="3175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4195939-C517-0340-BEB6-18338DDCFBD6}"/>
                </a:ext>
              </a:extLst>
            </xdr:cNvPr>
            <xdr:cNvSpPr txBox="1"/>
          </xdr:nvSpPr>
          <xdr:spPr>
            <a:xfrm>
              <a:off x="1452034" y="1054100"/>
              <a:ext cx="3175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1466850</xdr:colOff>
      <xdr:row>3</xdr:row>
      <xdr:rowOff>14816</xdr:rowOff>
    </xdr:from>
    <xdr:ext cx="3175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A7473B4-1BCA-B041-BBDB-B809EBD444E8}"/>
                </a:ext>
              </a:extLst>
            </xdr:cNvPr>
            <xdr:cNvSpPr txBox="1"/>
          </xdr:nvSpPr>
          <xdr:spPr>
            <a:xfrm>
              <a:off x="1466850" y="1615016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A7473B4-1BCA-B041-BBDB-B809EBD444E8}"/>
                </a:ext>
              </a:extLst>
            </xdr:cNvPr>
            <xdr:cNvSpPr txBox="1"/>
          </xdr:nvSpPr>
          <xdr:spPr>
            <a:xfrm>
              <a:off x="1466850" y="1615016"/>
              <a:ext cx="317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482600</xdr:colOff>
      <xdr:row>3</xdr:row>
      <xdr:rowOff>346075</xdr:rowOff>
    </xdr:from>
    <xdr:ext cx="561885" cy="1902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4AA44F4-7D1B-9524-543F-34A14F4FC79D}"/>
                </a:ext>
              </a:extLst>
            </xdr:cNvPr>
            <xdr:cNvSpPr txBox="1"/>
          </xdr:nvSpPr>
          <xdr:spPr>
            <a:xfrm>
              <a:off x="482600" y="2009775"/>
              <a:ext cx="561885" cy="190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=√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  <m:r>
                          <m:rPr>
                            <m:nor/>
                          </m:rPr>
                          <a:rPr lang="ru-RU" sz="1100"/>
                          <m:t> 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4AA44F4-7D1B-9524-543F-34A14F4FC79D}"/>
                </a:ext>
              </a:extLst>
            </xdr:cNvPr>
            <xdr:cNvSpPr txBox="1"/>
          </xdr:nvSpPr>
          <xdr:spPr>
            <a:xfrm>
              <a:off x="482600" y="2009775"/>
              <a:ext cx="561885" cy="190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</a:t>
              </a:r>
              <a:r>
                <a:rPr lang="ru-RU" sz="1100" i="0"/>
                <a:t> 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" 〗^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</xdr:col>
      <xdr:colOff>12701</xdr:colOff>
      <xdr:row>7</xdr:row>
      <xdr:rowOff>12699</xdr:rowOff>
    </xdr:from>
    <xdr:to>
      <xdr:col>4</xdr:col>
      <xdr:colOff>5887</xdr:colOff>
      <xdr:row>7</xdr:row>
      <xdr:rowOff>423332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8128E6B-46BC-8D44-8204-087E0068E94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38201" y="1485899"/>
              <a:ext cx="818686" cy="3217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8128E6B-46BC-8D44-8204-087E0068E94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38201" y="1485899"/>
              <a:ext cx="818686" cy="3217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19243</xdr:colOff>
      <xdr:row>18</xdr:row>
      <xdr:rowOff>12699</xdr:rowOff>
    </xdr:from>
    <xdr:to>
      <xdr:col>2</xdr:col>
      <xdr:colOff>1257300</xdr:colOff>
      <xdr:row>18</xdr:row>
      <xdr:rowOff>202044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203AFF9-7AD2-2E46-8614-B4160FF8F3A1}"/>
                </a:ext>
              </a:extLst>
            </xdr:cNvPr>
            <xdr:cNvSpPr txBox="1"/>
          </xdr:nvSpPr>
          <xdr:spPr>
            <a:xfrm>
              <a:off x="19243" y="38480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203AFF9-7AD2-2E46-8614-B4160FF8F3A1}"/>
                </a:ext>
              </a:extLst>
            </xdr:cNvPr>
            <xdr:cNvSpPr txBox="1"/>
          </xdr:nvSpPr>
          <xdr:spPr>
            <a:xfrm>
              <a:off x="19243" y="38480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4</xdr:col>
      <xdr:colOff>7427</xdr:colOff>
      <xdr:row>7</xdr:row>
      <xdr:rowOff>0</xdr:rowOff>
    </xdr:from>
    <xdr:ext cx="816959" cy="20344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95FCFB-0FB3-1040-92C5-517051E780BD}"/>
                </a:ext>
              </a:extLst>
            </xdr:cNvPr>
            <xdr:cNvSpPr txBox="1"/>
          </xdr:nvSpPr>
          <xdr:spPr>
            <a:xfrm>
              <a:off x="4427767" y="3150340"/>
              <a:ext cx="816959" cy="203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95FCFB-0FB3-1040-92C5-517051E780BD}"/>
                </a:ext>
              </a:extLst>
            </xdr:cNvPr>
            <xdr:cNvSpPr txBox="1"/>
          </xdr:nvSpPr>
          <xdr:spPr>
            <a:xfrm>
              <a:off x="4427767" y="3150340"/>
              <a:ext cx="816959" cy="203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12330</xdr:colOff>
      <xdr:row>7</xdr:row>
      <xdr:rowOff>18496</xdr:rowOff>
    </xdr:from>
    <xdr:to>
      <xdr:col>5</xdr:col>
      <xdr:colOff>826116</xdr:colOff>
      <xdr:row>7</xdr:row>
      <xdr:rowOff>191116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9A07F8C-407B-3B41-A231-252200F2C2C8}"/>
                </a:ext>
              </a:extLst>
            </xdr:cNvPr>
            <xdr:cNvSpPr txBox="1"/>
          </xdr:nvSpPr>
          <xdr:spPr>
            <a:xfrm>
              <a:off x="5258786" y="3168836"/>
              <a:ext cx="813786" cy="172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D9A07F8C-407B-3B41-A231-252200F2C2C8}"/>
                </a:ext>
              </a:extLst>
            </xdr:cNvPr>
            <xdr:cNvSpPr txBox="1"/>
          </xdr:nvSpPr>
          <xdr:spPr>
            <a:xfrm>
              <a:off x="5258786" y="3168836"/>
              <a:ext cx="813786" cy="172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6</xdr:col>
      <xdr:colOff>0</xdr:colOff>
      <xdr:row>7</xdr:row>
      <xdr:rowOff>0</xdr:rowOff>
    </xdr:from>
    <xdr:to>
      <xdr:col>6</xdr:col>
      <xdr:colOff>826116</xdr:colOff>
      <xdr:row>8</xdr:row>
      <xdr:rowOff>12700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AC574CD-1236-0C43-B530-71AAF2DAA715}"/>
                </a:ext>
              </a:extLst>
            </xdr:cNvPr>
            <xdr:cNvSpPr txBox="1"/>
          </xdr:nvSpPr>
          <xdr:spPr>
            <a:xfrm>
              <a:off x="6072573" y="3150340"/>
              <a:ext cx="826116" cy="216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AC574CD-1236-0C43-B530-71AAF2DAA715}"/>
                </a:ext>
              </a:extLst>
            </xdr:cNvPr>
            <xdr:cNvSpPr txBox="1"/>
          </xdr:nvSpPr>
          <xdr:spPr>
            <a:xfrm>
              <a:off x="6072573" y="3150340"/>
              <a:ext cx="826116" cy="216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𝑖^2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10</xdr:col>
      <xdr:colOff>12701</xdr:colOff>
      <xdr:row>7</xdr:row>
      <xdr:rowOff>12699</xdr:rowOff>
    </xdr:from>
    <xdr:to>
      <xdr:col>11</xdr:col>
      <xdr:colOff>5887</xdr:colOff>
      <xdr:row>7</xdr:row>
      <xdr:rowOff>194930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AFB578-7893-8D49-AC54-90FBBB5946D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9398887" y="3155211"/>
              <a:ext cx="820163" cy="182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2AFB578-7893-8D49-AC54-90FBBB5946D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9398887" y="3155211"/>
              <a:ext cx="820163" cy="182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9</xdr:col>
      <xdr:colOff>19243</xdr:colOff>
      <xdr:row>18</xdr:row>
      <xdr:rowOff>12699</xdr:rowOff>
    </xdr:from>
    <xdr:to>
      <xdr:col>9</xdr:col>
      <xdr:colOff>1257300</xdr:colOff>
      <xdr:row>18</xdr:row>
      <xdr:rowOff>202044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E04D00-F65A-644B-9FE8-0F3D1F0E4D5F}"/>
                </a:ext>
              </a:extLst>
            </xdr:cNvPr>
            <xdr:cNvSpPr txBox="1"/>
          </xdr:nvSpPr>
          <xdr:spPr>
            <a:xfrm>
              <a:off x="19243" y="38480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18E04D00-F65A-644B-9FE8-0F3D1F0E4D5F}"/>
                </a:ext>
              </a:extLst>
            </xdr:cNvPr>
            <xdr:cNvSpPr txBox="1"/>
          </xdr:nvSpPr>
          <xdr:spPr>
            <a:xfrm>
              <a:off x="19243" y="38480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11</xdr:col>
      <xdr:colOff>7427</xdr:colOff>
      <xdr:row>7</xdr:row>
      <xdr:rowOff>0</xdr:rowOff>
    </xdr:from>
    <xdr:ext cx="816959" cy="2008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ADDD201-D1C8-B244-965D-97671DFDB182}"/>
                </a:ext>
              </a:extLst>
            </xdr:cNvPr>
            <xdr:cNvSpPr txBox="1"/>
          </xdr:nvSpPr>
          <xdr:spPr>
            <a:xfrm>
              <a:off x="10220590" y="3142512"/>
              <a:ext cx="816959" cy="2008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ADDD201-D1C8-B244-965D-97671DFDB182}"/>
                </a:ext>
              </a:extLst>
            </xdr:cNvPr>
            <xdr:cNvSpPr txBox="1"/>
          </xdr:nvSpPr>
          <xdr:spPr>
            <a:xfrm>
              <a:off x="10220590" y="3142512"/>
              <a:ext cx="816959" cy="2008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12</xdr:col>
      <xdr:colOff>19493</xdr:colOff>
      <xdr:row>7</xdr:row>
      <xdr:rowOff>12110</xdr:rowOff>
    </xdr:from>
    <xdr:to>
      <xdr:col>12</xdr:col>
      <xdr:colOff>806893</xdr:colOff>
      <xdr:row>8</xdr:row>
      <xdr:rowOff>5907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F1FE23D-2B7F-E542-842A-F1EEDF584155}"/>
                </a:ext>
              </a:extLst>
            </xdr:cNvPr>
            <xdr:cNvSpPr txBox="1"/>
          </xdr:nvSpPr>
          <xdr:spPr>
            <a:xfrm>
              <a:off x="11059633" y="3154622"/>
              <a:ext cx="787400" cy="194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F1FE23D-2B7F-E542-842A-F1EEDF584155}"/>
                </a:ext>
              </a:extLst>
            </xdr:cNvPr>
            <xdr:cNvSpPr txBox="1"/>
          </xdr:nvSpPr>
          <xdr:spPr>
            <a:xfrm>
              <a:off x="11059633" y="3154622"/>
              <a:ext cx="787400" cy="194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12</xdr:col>
      <xdr:colOff>826976</xdr:colOff>
      <xdr:row>7</xdr:row>
      <xdr:rowOff>5908</xdr:rowOff>
    </xdr:from>
    <xdr:to>
      <xdr:col>14</xdr:col>
      <xdr:colOff>0</xdr:colOff>
      <xdr:row>7</xdr:row>
      <xdr:rowOff>194930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CD8A45B-5B0C-8F48-B8DB-E58F177E4845}"/>
                </a:ext>
              </a:extLst>
            </xdr:cNvPr>
            <xdr:cNvSpPr txBox="1"/>
          </xdr:nvSpPr>
          <xdr:spPr>
            <a:xfrm>
              <a:off x="11867116" y="3148420"/>
              <a:ext cx="826977" cy="1890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CD8A45B-5B0C-8F48-B8DB-E58F177E4845}"/>
                </a:ext>
              </a:extLst>
            </xdr:cNvPr>
            <xdr:cNvSpPr txBox="1"/>
          </xdr:nvSpPr>
          <xdr:spPr>
            <a:xfrm>
              <a:off x="11867116" y="3148420"/>
              <a:ext cx="826977" cy="18902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𝑖^2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21525</xdr:colOff>
      <xdr:row>18</xdr:row>
      <xdr:rowOff>193729</xdr:rowOff>
    </xdr:from>
    <xdr:to>
      <xdr:col>3</xdr:col>
      <xdr:colOff>359</xdr:colOff>
      <xdr:row>20</xdr:row>
      <xdr:rowOff>2296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D13EBCA-FD03-C540-BE39-ECAA3143C427}"/>
                </a:ext>
              </a:extLst>
            </xdr:cNvPr>
            <xdr:cNvSpPr txBox="1"/>
          </xdr:nvSpPr>
          <xdr:spPr>
            <a:xfrm>
              <a:off x="2791130" y="5539209"/>
              <a:ext cx="803975" cy="210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∑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AD13EBCA-FD03-C540-BE39-ECAA3143C427}"/>
                </a:ext>
              </a:extLst>
            </xdr:cNvPr>
            <xdr:cNvSpPr txBox="1"/>
          </xdr:nvSpPr>
          <xdr:spPr>
            <a:xfrm>
              <a:off x="2791130" y="5539209"/>
              <a:ext cx="803975" cy="210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35875</xdr:colOff>
      <xdr:row>20</xdr:row>
      <xdr:rowOff>7175</xdr:rowOff>
    </xdr:from>
    <xdr:ext cx="755758" cy="1865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B834A79-FF1A-114C-819F-5538255B57FC}"/>
                </a:ext>
              </a:extLst>
            </xdr:cNvPr>
            <xdr:cNvSpPr txBox="1"/>
          </xdr:nvSpPr>
          <xdr:spPr>
            <a:xfrm>
              <a:off x="2805480" y="5912316"/>
              <a:ext cx="755758" cy="186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B834A79-FF1A-114C-819F-5538255B57FC}"/>
                </a:ext>
              </a:extLst>
            </xdr:cNvPr>
            <xdr:cNvSpPr txBox="1"/>
          </xdr:nvSpPr>
          <xdr:spPr>
            <a:xfrm>
              <a:off x="2805480" y="5912316"/>
              <a:ext cx="755758" cy="186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28700</xdr:colOff>
      <xdr:row>21</xdr:row>
      <xdr:rowOff>21526</xdr:rowOff>
    </xdr:from>
    <xdr:ext cx="779866" cy="175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08E26F9-0825-8B4B-84B0-474CE569F87F}"/>
                </a:ext>
              </a:extLst>
            </xdr:cNvPr>
            <xdr:cNvSpPr txBox="1"/>
          </xdr:nvSpPr>
          <xdr:spPr>
            <a:xfrm>
              <a:off x="2798305" y="6127571"/>
              <a:ext cx="779866" cy="17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08E26F9-0825-8B4B-84B0-474CE569F87F}"/>
                </a:ext>
              </a:extLst>
            </xdr:cNvPr>
            <xdr:cNvSpPr txBox="1"/>
          </xdr:nvSpPr>
          <xdr:spPr>
            <a:xfrm>
              <a:off x="2798305" y="6127571"/>
              <a:ext cx="779866" cy="17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21525</xdr:colOff>
      <xdr:row>22</xdr:row>
      <xdr:rowOff>0</xdr:rowOff>
    </xdr:from>
    <xdr:ext cx="770108" cy="177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069F48A-13D3-9540-8B2A-6F4FBB43E3A5}"/>
                </a:ext>
              </a:extLst>
            </xdr:cNvPr>
            <xdr:cNvSpPr txBox="1"/>
          </xdr:nvSpPr>
          <xdr:spPr>
            <a:xfrm>
              <a:off x="2791130" y="6306949"/>
              <a:ext cx="770108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069F48A-13D3-9540-8B2A-6F4FBB43E3A5}"/>
                </a:ext>
              </a:extLst>
            </xdr:cNvPr>
            <xdr:cNvSpPr txBox="1"/>
          </xdr:nvSpPr>
          <xdr:spPr>
            <a:xfrm>
              <a:off x="2791130" y="6306949"/>
              <a:ext cx="770108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28700</xdr:colOff>
      <xdr:row>23</xdr:row>
      <xdr:rowOff>14350</xdr:rowOff>
    </xdr:from>
    <xdr:ext cx="774915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0D80183-2A58-E14C-B084-27737A9ED377}"/>
                </a:ext>
              </a:extLst>
            </xdr:cNvPr>
            <xdr:cNvSpPr txBox="1"/>
          </xdr:nvSpPr>
          <xdr:spPr>
            <a:xfrm>
              <a:off x="2798305" y="6522203"/>
              <a:ext cx="774915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0D80183-2A58-E14C-B084-27737A9ED377}"/>
                </a:ext>
              </a:extLst>
            </xdr:cNvPr>
            <xdr:cNvSpPr txBox="1"/>
          </xdr:nvSpPr>
          <xdr:spPr>
            <a:xfrm>
              <a:off x="2798305" y="6522203"/>
              <a:ext cx="774915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14351</xdr:rowOff>
    </xdr:from>
    <xdr:ext cx="81079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B0BEE79C-2A10-7B43-A56D-F32BE80DDAFC}"/>
                </a:ext>
              </a:extLst>
            </xdr:cNvPr>
            <xdr:cNvSpPr txBox="1"/>
          </xdr:nvSpPr>
          <xdr:spPr>
            <a:xfrm>
              <a:off x="2769605" y="6723108"/>
              <a:ext cx="81079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𝑀𝑜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B0BEE79C-2A10-7B43-A56D-F32BE80DDAFC}"/>
                </a:ext>
              </a:extLst>
            </xdr:cNvPr>
            <xdr:cNvSpPr txBox="1"/>
          </xdr:nvSpPr>
          <xdr:spPr>
            <a:xfrm>
              <a:off x="2769605" y="6723108"/>
              <a:ext cx="81079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𝑀𝑜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9</xdr:col>
      <xdr:colOff>19243</xdr:colOff>
      <xdr:row>18</xdr:row>
      <xdr:rowOff>12699</xdr:rowOff>
    </xdr:from>
    <xdr:to>
      <xdr:col>9</xdr:col>
      <xdr:colOff>1257300</xdr:colOff>
      <xdr:row>18</xdr:row>
      <xdr:rowOff>202044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047884C-50F9-F84B-8FE4-6449DE0DA1D3}"/>
                </a:ext>
              </a:extLst>
            </xdr:cNvPr>
            <xdr:cNvSpPr txBox="1"/>
          </xdr:nvSpPr>
          <xdr:spPr>
            <a:xfrm>
              <a:off x="2795100" y="53466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B047884C-50F9-F84B-8FE4-6449DE0DA1D3}"/>
                </a:ext>
              </a:extLst>
            </xdr:cNvPr>
            <xdr:cNvSpPr txBox="1"/>
          </xdr:nvSpPr>
          <xdr:spPr>
            <a:xfrm>
              <a:off x="2795100" y="5346699"/>
              <a:ext cx="806257" cy="1893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9</xdr:col>
      <xdr:colOff>21525</xdr:colOff>
      <xdr:row>18</xdr:row>
      <xdr:rowOff>193729</xdr:rowOff>
    </xdr:from>
    <xdr:to>
      <xdr:col>10</xdr:col>
      <xdr:colOff>359</xdr:colOff>
      <xdr:row>20</xdr:row>
      <xdr:rowOff>2296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68C1DBC0-E5FC-A545-A0F2-E4028762B004}"/>
                </a:ext>
              </a:extLst>
            </xdr:cNvPr>
            <xdr:cNvSpPr txBox="1"/>
          </xdr:nvSpPr>
          <xdr:spPr>
            <a:xfrm>
              <a:off x="2797382" y="5527729"/>
              <a:ext cx="804334" cy="361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∑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68C1DBC0-E5FC-A545-A0F2-E4028762B004}"/>
                </a:ext>
              </a:extLst>
            </xdr:cNvPr>
            <xdr:cNvSpPr txBox="1"/>
          </xdr:nvSpPr>
          <xdr:spPr>
            <a:xfrm>
              <a:off x="2797382" y="5527729"/>
              <a:ext cx="804334" cy="3619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9</xdr:col>
      <xdr:colOff>35875</xdr:colOff>
      <xdr:row>20</xdr:row>
      <xdr:rowOff>7175</xdr:rowOff>
    </xdr:from>
    <xdr:ext cx="755758" cy="1865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801165E-2CB8-FA4B-866A-236BAFE70F62}"/>
                </a:ext>
              </a:extLst>
            </xdr:cNvPr>
            <xdr:cNvSpPr txBox="1"/>
          </xdr:nvSpPr>
          <xdr:spPr>
            <a:xfrm>
              <a:off x="2811732" y="5894532"/>
              <a:ext cx="755758" cy="186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801165E-2CB8-FA4B-866A-236BAFE70F62}"/>
                </a:ext>
              </a:extLst>
            </xdr:cNvPr>
            <xdr:cNvSpPr txBox="1"/>
          </xdr:nvSpPr>
          <xdr:spPr>
            <a:xfrm>
              <a:off x="2811732" y="5894532"/>
              <a:ext cx="755758" cy="186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28700</xdr:colOff>
      <xdr:row>21</xdr:row>
      <xdr:rowOff>21526</xdr:rowOff>
    </xdr:from>
    <xdr:ext cx="779866" cy="1759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A3C5CBE6-BCDA-F946-9B00-E589E94C2F85}"/>
                </a:ext>
              </a:extLst>
            </xdr:cNvPr>
            <xdr:cNvSpPr txBox="1"/>
          </xdr:nvSpPr>
          <xdr:spPr>
            <a:xfrm>
              <a:off x="2804557" y="6108455"/>
              <a:ext cx="779866" cy="17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A3C5CBE6-BCDA-F946-9B00-E589E94C2F85}"/>
                </a:ext>
              </a:extLst>
            </xdr:cNvPr>
            <xdr:cNvSpPr txBox="1"/>
          </xdr:nvSpPr>
          <xdr:spPr>
            <a:xfrm>
              <a:off x="2804557" y="6108455"/>
              <a:ext cx="779866" cy="175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21525</xdr:colOff>
      <xdr:row>22</xdr:row>
      <xdr:rowOff>0</xdr:rowOff>
    </xdr:from>
    <xdr:ext cx="770108" cy="177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F9BF333-34CA-334A-AAF4-9A5226FB927E}"/>
                </a:ext>
              </a:extLst>
            </xdr:cNvPr>
            <xdr:cNvSpPr txBox="1"/>
          </xdr:nvSpPr>
          <xdr:spPr>
            <a:xfrm>
              <a:off x="2797382" y="6286500"/>
              <a:ext cx="770108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CF9BF333-34CA-334A-AAF4-9A5226FB927E}"/>
                </a:ext>
              </a:extLst>
            </xdr:cNvPr>
            <xdr:cNvSpPr txBox="1"/>
          </xdr:nvSpPr>
          <xdr:spPr>
            <a:xfrm>
              <a:off x="2797382" y="6286500"/>
              <a:ext cx="770108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28700</xdr:colOff>
      <xdr:row>23</xdr:row>
      <xdr:rowOff>14350</xdr:rowOff>
    </xdr:from>
    <xdr:ext cx="774915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6615524-3F36-8C4B-9838-727FB5C3877A}"/>
                </a:ext>
              </a:extLst>
            </xdr:cNvPr>
            <xdr:cNvSpPr txBox="1"/>
          </xdr:nvSpPr>
          <xdr:spPr>
            <a:xfrm>
              <a:off x="2804557" y="6500421"/>
              <a:ext cx="774915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6615524-3F36-8C4B-9838-727FB5C3877A}"/>
                </a:ext>
              </a:extLst>
            </xdr:cNvPr>
            <xdr:cNvSpPr txBox="1"/>
          </xdr:nvSpPr>
          <xdr:spPr>
            <a:xfrm>
              <a:off x="2804557" y="6500421"/>
              <a:ext cx="774915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24</xdr:row>
      <xdr:rowOff>14351</xdr:rowOff>
    </xdr:from>
    <xdr:ext cx="81079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0F81FD4-AEDB-8C48-A614-8146950BAEF0}"/>
                </a:ext>
              </a:extLst>
            </xdr:cNvPr>
            <xdr:cNvSpPr txBox="1"/>
          </xdr:nvSpPr>
          <xdr:spPr>
            <a:xfrm>
              <a:off x="2775857" y="6699994"/>
              <a:ext cx="81079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𝑀𝑜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70F81FD4-AEDB-8C48-A614-8146950BAEF0}"/>
                </a:ext>
              </a:extLst>
            </xdr:cNvPr>
            <xdr:cNvSpPr txBox="1"/>
          </xdr:nvSpPr>
          <xdr:spPr>
            <a:xfrm>
              <a:off x="2775857" y="6699994"/>
              <a:ext cx="81079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𝑀𝑜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12700</xdr:colOff>
      <xdr:row>2</xdr:row>
      <xdr:rowOff>16932</xdr:rowOff>
    </xdr:from>
    <xdr:ext cx="8128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CE58F-F3EC-3141-B789-5026041C8511}"/>
                </a:ext>
              </a:extLst>
            </xdr:cNvPr>
            <xdr:cNvSpPr txBox="1"/>
          </xdr:nvSpPr>
          <xdr:spPr>
            <a:xfrm>
              <a:off x="1955800" y="2214032"/>
              <a:ext cx="8128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C0CE58F-F3EC-3141-B789-5026041C8511}"/>
                </a:ext>
              </a:extLst>
            </xdr:cNvPr>
            <xdr:cNvSpPr txBox="1"/>
          </xdr:nvSpPr>
          <xdr:spPr>
            <a:xfrm>
              <a:off x="1955800" y="2214032"/>
              <a:ext cx="8128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12700</xdr:colOff>
      <xdr:row>3</xdr:row>
      <xdr:rowOff>25400</xdr:rowOff>
    </xdr:from>
    <xdr:ext cx="812800" cy="177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07F5887-16AF-8744-934D-D5DE396F9838}"/>
                </a:ext>
              </a:extLst>
            </xdr:cNvPr>
            <xdr:cNvSpPr txBox="1"/>
          </xdr:nvSpPr>
          <xdr:spPr>
            <a:xfrm>
              <a:off x="1955800" y="2425700"/>
              <a:ext cx="812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07F5887-16AF-8744-934D-D5DE396F9838}"/>
                </a:ext>
              </a:extLst>
            </xdr:cNvPr>
            <xdr:cNvSpPr txBox="1"/>
          </xdr:nvSpPr>
          <xdr:spPr>
            <a:xfrm>
              <a:off x="1955800" y="2425700"/>
              <a:ext cx="812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12700</xdr:colOff>
      <xdr:row>4</xdr:row>
      <xdr:rowOff>16934</xdr:rowOff>
    </xdr:from>
    <xdr:ext cx="812800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44DDBD-55BF-9A4D-914C-AA145E877629}"/>
                </a:ext>
              </a:extLst>
            </xdr:cNvPr>
            <xdr:cNvSpPr txBox="1"/>
          </xdr:nvSpPr>
          <xdr:spPr>
            <a:xfrm>
              <a:off x="1955800" y="2620434"/>
              <a:ext cx="8128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144DDBD-55BF-9A4D-914C-AA145E877629}"/>
                </a:ext>
              </a:extLst>
            </xdr:cNvPr>
            <xdr:cNvSpPr txBox="1"/>
          </xdr:nvSpPr>
          <xdr:spPr>
            <a:xfrm>
              <a:off x="1955800" y="2620434"/>
              <a:ext cx="8128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25400</xdr:colOff>
      <xdr:row>5</xdr:row>
      <xdr:rowOff>8466</xdr:rowOff>
    </xdr:from>
    <xdr:ext cx="8001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3EAFD41-F964-574F-BCAF-CF97F88B3707}"/>
                </a:ext>
              </a:extLst>
            </xdr:cNvPr>
            <xdr:cNvSpPr txBox="1"/>
          </xdr:nvSpPr>
          <xdr:spPr>
            <a:xfrm>
              <a:off x="1968500" y="2815166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3EAFD41-F964-574F-BCAF-CF97F88B3707}"/>
                </a:ext>
              </a:extLst>
            </xdr:cNvPr>
            <xdr:cNvSpPr txBox="1"/>
          </xdr:nvSpPr>
          <xdr:spPr>
            <a:xfrm>
              <a:off x="1968500" y="2815166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</xdr:row>
      <xdr:rowOff>25400</xdr:rowOff>
    </xdr:from>
    <xdr:ext cx="8382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8E9399F-8B8F-8D44-ABDD-9C9B7E821479}"/>
                </a:ext>
              </a:extLst>
            </xdr:cNvPr>
            <xdr:cNvSpPr txBox="1"/>
          </xdr:nvSpPr>
          <xdr:spPr>
            <a:xfrm>
              <a:off x="1943100" y="3035300"/>
              <a:ext cx="8382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8E9399F-8B8F-8D44-ABDD-9C9B7E821479}"/>
                </a:ext>
              </a:extLst>
            </xdr:cNvPr>
            <xdr:cNvSpPr txBox="1"/>
          </xdr:nvSpPr>
          <xdr:spPr>
            <a:xfrm>
              <a:off x="1943100" y="3035300"/>
              <a:ext cx="8382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𝑀𝑒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12700</xdr:colOff>
      <xdr:row>2</xdr:row>
      <xdr:rowOff>16932</xdr:rowOff>
    </xdr:from>
    <xdr:ext cx="8128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63FC8-A221-254B-8778-EEFF98E4F472}"/>
                </a:ext>
              </a:extLst>
            </xdr:cNvPr>
            <xdr:cNvSpPr txBox="1"/>
          </xdr:nvSpPr>
          <xdr:spPr>
            <a:xfrm>
              <a:off x="5257800" y="2214032"/>
              <a:ext cx="8128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63FC8-A221-254B-8778-EEFF98E4F472}"/>
                </a:ext>
              </a:extLst>
            </xdr:cNvPr>
            <xdr:cNvSpPr txBox="1"/>
          </xdr:nvSpPr>
          <xdr:spPr>
            <a:xfrm>
              <a:off x="5257800" y="2214032"/>
              <a:ext cx="8128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25400</xdr:colOff>
      <xdr:row>3</xdr:row>
      <xdr:rowOff>25400</xdr:rowOff>
    </xdr:from>
    <xdr:ext cx="7874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0BCAF6E-B887-474E-9227-0D48CFC9614A}"/>
                </a:ext>
              </a:extLst>
            </xdr:cNvPr>
            <xdr:cNvSpPr txBox="1"/>
          </xdr:nvSpPr>
          <xdr:spPr>
            <a:xfrm>
              <a:off x="5270500" y="2425700"/>
              <a:ext cx="7874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0BCAF6E-B887-474E-9227-0D48CFC9614A}"/>
                </a:ext>
              </a:extLst>
            </xdr:cNvPr>
            <xdr:cNvSpPr txBox="1"/>
          </xdr:nvSpPr>
          <xdr:spPr>
            <a:xfrm>
              <a:off x="5270500" y="2425700"/>
              <a:ext cx="7874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25400</xdr:colOff>
      <xdr:row>6</xdr:row>
      <xdr:rowOff>25400</xdr:rowOff>
    </xdr:from>
    <xdr:ext cx="8001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AFE3A31-A54C-F84E-9405-37D5DB0B4F00}"/>
                </a:ext>
              </a:extLst>
            </xdr:cNvPr>
            <xdr:cNvSpPr txBox="1"/>
          </xdr:nvSpPr>
          <xdr:spPr>
            <a:xfrm>
              <a:off x="5270500" y="30353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𝑀𝑒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AFE3A31-A54C-F84E-9405-37D5DB0B4F00}"/>
                </a:ext>
              </a:extLst>
            </xdr:cNvPr>
            <xdr:cNvSpPr txBox="1"/>
          </xdr:nvSpPr>
          <xdr:spPr>
            <a:xfrm>
              <a:off x="5270500" y="30353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𝑀𝑒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25400</xdr:colOff>
      <xdr:row>4</xdr:row>
      <xdr:rowOff>25400</xdr:rowOff>
    </xdr:from>
    <xdr:ext cx="812800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17BFDCA-E14D-8540-AA1C-03E91D7FF809}"/>
                </a:ext>
              </a:extLst>
            </xdr:cNvPr>
            <xdr:cNvSpPr txBox="1"/>
          </xdr:nvSpPr>
          <xdr:spPr>
            <a:xfrm>
              <a:off x="5270500" y="2628900"/>
              <a:ext cx="8128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p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17BFDCA-E14D-8540-AA1C-03E91D7FF809}"/>
                </a:ext>
              </a:extLst>
            </xdr:cNvPr>
            <xdr:cNvSpPr txBox="1"/>
          </xdr:nvSpPr>
          <xdr:spPr>
            <a:xfrm>
              <a:off x="5270500" y="2628900"/>
              <a:ext cx="812800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12700</xdr:colOff>
      <xdr:row>5</xdr:row>
      <xdr:rowOff>12700</xdr:rowOff>
    </xdr:from>
    <xdr:ext cx="8001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F7D3CA4-3A17-E74D-B045-D079BFEC3610}"/>
                </a:ext>
              </a:extLst>
            </xdr:cNvPr>
            <xdr:cNvSpPr txBox="1"/>
          </xdr:nvSpPr>
          <xdr:spPr>
            <a:xfrm>
              <a:off x="5257800" y="28194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F7D3CA4-3A17-E74D-B045-D079BFEC3610}"/>
                </a:ext>
              </a:extLst>
            </xdr:cNvPr>
            <xdr:cNvSpPr txBox="1"/>
          </xdr:nvSpPr>
          <xdr:spPr>
            <a:xfrm>
              <a:off x="5257800" y="28194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71469</xdr:colOff>
      <xdr:row>1</xdr:row>
      <xdr:rowOff>50306</xdr:rowOff>
    </xdr:from>
    <xdr:ext cx="265480" cy="2511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5015A6-4C50-3D4A-90DA-0A9B316507C2}"/>
                </a:ext>
              </a:extLst>
            </xdr:cNvPr>
            <xdr:cNvSpPr txBox="1"/>
          </xdr:nvSpPr>
          <xdr:spPr>
            <a:xfrm>
              <a:off x="71469" y="250081"/>
              <a:ext cx="265480" cy="2511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𝑛</m:t>
                  </m:r>
                </m:oMath>
              </a14:m>
              <a:r>
                <a:rPr lang="en-US" sz="1100" b="0"/>
                <a:t> =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5015A6-4C50-3D4A-90DA-0A9B316507C2}"/>
                </a:ext>
              </a:extLst>
            </xdr:cNvPr>
            <xdr:cNvSpPr txBox="1"/>
          </xdr:nvSpPr>
          <xdr:spPr>
            <a:xfrm>
              <a:off x="71469" y="250081"/>
              <a:ext cx="265480" cy="2511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n-US" sz="1100" b="0"/>
                <a:t> =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87271</xdr:colOff>
      <xdr:row>2</xdr:row>
      <xdr:rowOff>254888</xdr:rowOff>
    </xdr:from>
    <xdr:ext cx="262593" cy="1977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00936BC-B987-874C-9DF7-4366B64AF3E0}"/>
                </a:ext>
              </a:extLst>
            </xdr:cNvPr>
            <xdr:cNvSpPr txBox="1"/>
          </xdr:nvSpPr>
          <xdr:spPr>
            <a:xfrm>
              <a:off x="87271" y="811405"/>
              <a:ext cx="262593" cy="1977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𝑎</m:t>
                  </m:r>
                </m:oMath>
              </a14:m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00936BC-B987-874C-9DF7-4366B64AF3E0}"/>
                </a:ext>
              </a:extLst>
            </xdr:cNvPr>
            <xdr:cNvSpPr txBox="1"/>
          </xdr:nvSpPr>
          <xdr:spPr>
            <a:xfrm>
              <a:off x="87271" y="811405"/>
              <a:ext cx="262593" cy="1977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53473</xdr:colOff>
      <xdr:row>2</xdr:row>
      <xdr:rowOff>35674</xdr:rowOff>
    </xdr:from>
    <xdr:ext cx="331808" cy="2497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17912D0-02D1-EB4C-8DD4-BD5D2DDE0A18}"/>
                </a:ext>
              </a:extLst>
            </xdr:cNvPr>
            <xdr:cNvSpPr txBox="1"/>
          </xdr:nvSpPr>
          <xdr:spPr>
            <a:xfrm>
              <a:off x="53473" y="592191"/>
              <a:ext cx="331808" cy="249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 = 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17912D0-02D1-EB4C-8DD4-BD5D2DDE0A18}"/>
                </a:ext>
              </a:extLst>
            </xdr:cNvPr>
            <xdr:cNvSpPr txBox="1"/>
          </xdr:nvSpPr>
          <xdr:spPr>
            <a:xfrm>
              <a:off x="53473" y="592191"/>
              <a:ext cx="331808" cy="249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US" sz="1100"/>
                <a:t> = 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69039</xdr:colOff>
      <xdr:row>4</xdr:row>
      <xdr:rowOff>16398</xdr:rowOff>
    </xdr:from>
    <xdr:ext cx="237269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BE9F497-3CB9-DB4B-A455-C6237A012BFF}"/>
                </a:ext>
              </a:extLst>
            </xdr:cNvPr>
            <xdr:cNvSpPr txBox="1"/>
          </xdr:nvSpPr>
          <xdr:spPr>
            <a:xfrm>
              <a:off x="69039" y="1033353"/>
              <a:ext cx="237269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𝛾</m:t>
                  </m:r>
                </m:oMath>
              </a14:m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BE9F497-3CB9-DB4B-A455-C6237A012BFF}"/>
                </a:ext>
              </a:extLst>
            </xdr:cNvPr>
            <xdr:cNvSpPr txBox="1"/>
          </xdr:nvSpPr>
          <xdr:spPr>
            <a:xfrm>
              <a:off x="69039" y="1033353"/>
              <a:ext cx="237269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56682</xdr:colOff>
      <xdr:row>5</xdr:row>
      <xdr:rowOff>420080</xdr:rowOff>
    </xdr:from>
    <xdr:ext cx="304218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632A434-05BE-8B49-BA9E-611B2C94CF05}"/>
                </a:ext>
              </a:extLst>
            </xdr:cNvPr>
            <xdr:cNvSpPr txBox="1"/>
          </xdr:nvSpPr>
          <xdr:spPr>
            <a:xfrm>
              <a:off x="56682" y="1994880"/>
              <a:ext cx="3042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r>
                <a:rPr lang="en-US" sz="1100"/>
                <a:t>  =</a:t>
              </a:r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632A434-05BE-8B49-BA9E-611B2C94CF05}"/>
                </a:ext>
              </a:extLst>
            </xdr:cNvPr>
            <xdr:cNvSpPr txBox="1"/>
          </xdr:nvSpPr>
          <xdr:spPr>
            <a:xfrm>
              <a:off x="56682" y="1994880"/>
              <a:ext cx="3042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/>
                <a:t>  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295218</xdr:colOff>
      <xdr:row>6</xdr:row>
      <xdr:rowOff>58088</xdr:rowOff>
    </xdr:from>
    <xdr:ext cx="289063" cy="177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C302AA8-69F2-0F48-860D-959C3AC7EA45}"/>
                </a:ext>
              </a:extLst>
            </xdr:cNvPr>
            <xdr:cNvSpPr txBox="1"/>
          </xdr:nvSpPr>
          <xdr:spPr>
            <a:xfrm>
              <a:off x="295218" y="2942976"/>
              <a:ext cx="289063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𝒮</m:t>
                      </m:r>
                    </m:e>
                    <m:sup>
                      <m:r>
                        <a:rPr lang="ru-RU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 = </a:t>
              </a:r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C302AA8-69F2-0F48-860D-959C3AC7EA45}"/>
                </a:ext>
              </a:extLst>
            </xdr:cNvPr>
            <xdr:cNvSpPr txBox="1"/>
          </xdr:nvSpPr>
          <xdr:spPr>
            <a:xfrm>
              <a:off x="295218" y="2942976"/>
              <a:ext cx="289063" cy="177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en-US" sz="1100"/>
                <a:t> =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1056687</xdr:colOff>
      <xdr:row>11</xdr:row>
      <xdr:rowOff>14581</xdr:rowOff>
    </xdr:from>
    <xdr:ext cx="30480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57E2DEB-FC4B-3148-B82A-1237AA2F7650}"/>
                </a:ext>
              </a:extLst>
            </xdr:cNvPr>
            <xdr:cNvSpPr txBox="1"/>
          </xdr:nvSpPr>
          <xdr:spPr>
            <a:xfrm>
              <a:off x="4025900" y="4547775"/>
              <a:ext cx="30480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57E2DEB-FC4B-3148-B82A-1237AA2F7650}"/>
                </a:ext>
              </a:extLst>
            </xdr:cNvPr>
            <xdr:cNvSpPr txBox="1"/>
          </xdr:nvSpPr>
          <xdr:spPr>
            <a:xfrm>
              <a:off x="4025900" y="4547775"/>
              <a:ext cx="30480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4</xdr:col>
      <xdr:colOff>10918</xdr:colOff>
      <xdr:row>10</xdr:row>
      <xdr:rowOff>64968</xdr:rowOff>
    </xdr:from>
    <xdr:to>
      <xdr:col>5</xdr:col>
      <xdr:colOff>876576</xdr:colOff>
      <xdr:row>10</xdr:row>
      <xdr:rowOff>284237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7D08040-1461-E240-B360-2BEC7A5A885E}"/>
                </a:ext>
              </a:extLst>
            </xdr:cNvPr>
            <xdr:cNvSpPr txBox="1"/>
          </xdr:nvSpPr>
          <xdr:spPr>
            <a:xfrm>
              <a:off x="4483527" y="3453935"/>
              <a:ext cx="1756038" cy="219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r>
                <a:rPr lang="en-US" sz="1100"/>
                <a:t> - 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𝛾</m:t>
                      </m:r>
                    </m:sub>
                  </m:sSub>
                  <m:f>
                    <m:fPr>
                      <m:ctrlP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ru-RU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den>
                  </m:f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&lt;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𝑎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&lt; </m:t>
                  </m:r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  <m:r>
                    <m:rPr>
                      <m:nor/>
                    </m:rPr>
                    <a:rPr lang="en-US" sz="1100"/>
                    <m:t> </m:t>
                  </m:r>
                  <m:r>
                    <m:rPr>
                      <m:nor/>
                    </m:rPr>
                    <a:rPr lang="en-US" sz="1100" b="0" i="0"/>
                    <m:t>+</m:t>
                  </m:r>
                  <m:r>
                    <m:rPr>
                      <m:nor/>
                    </m:rPr>
                    <a:rPr lang="en-US" sz="1100"/>
                    <m:t> </m:t>
                  </m:r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𝛾</m:t>
                      </m:r>
                    </m:sub>
                  </m:sSub>
                  <m:f>
                    <m:fPr>
                      <m:ctrlP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ru-RU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den>
                  </m:f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7D08040-1461-E240-B360-2BEC7A5A885E}"/>
                </a:ext>
              </a:extLst>
            </xdr:cNvPr>
            <xdr:cNvSpPr txBox="1"/>
          </xdr:nvSpPr>
          <xdr:spPr>
            <a:xfrm>
              <a:off x="4483527" y="3453935"/>
              <a:ext cx="1756038" cy="219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/>
                <a:t> -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  𝜎/√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𝑛&lt;𝑎&lt; 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"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+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"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  𝜎/√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3</xdr:col>
      <xdr:colOff>1060887</xdr:colOff>
      <xdr:row>17</xdr:row>
      <xdr:rowOff>11222</xdr:rowOff>
    </xdr:from>
    <xdr:ext cx="304800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AB4617-6D1D-3448-95BA-0D70273C5368}"/>
                </a:ext>
              </a:extLst>
            </xdr:cNvPr>
            <xdr:cNvSpPr txBox="1"/>
          </xdr:nvSpPr>
          <xdr:spPr>
            <a:xfrm>
              <a:off x="4037659" y="5427201"/>
              <a:ext cx="30480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8AB4617-6D1D-3448-95BA-0D70273C5368}"/>
                </a:ext>
              </a:extLst>
            </xdr:cNvPr>
            <xdr:cNvSpPr txBox="1"/>
          </xdr:nvSpPr>
          <xdr:spPr>
            <a:xfrm>
              <a:off x="4037659" y="5427201"/>
              <a:ext cx="304800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4</xdr:col>
      <xdr:colOff>132840</xdr:colOff>
      <xdr:row>16</xdr:row>
      <xdr:rowOff>33598</xdr:rowOff>
    </xdr:from>
    <xdr:to>
      <xdr:col>5</xdr:col>
      <xdr:colOff>779471</xdr:colOff>
      <xdr:row>16</xdr:row>
      <xdr:rowOff>288942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22717EC-AA94-194B-94E5-39CC90545F14}"/>
                </a:ext>
              </a:extLst>
            </xdr:cNvPr>
            <xdr:cNvSpPr txBox="1"/>
          </xdr:nvSpPr>
          <xdr:spPr>
            <a:xfrm>
              <a:off x="4608078" y="5133757"/>
              <a:ext cx="1473139" cy="255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r>
                <a:rPr lang="en-US" sz="1100"/>
                <a:t> - 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𝛾</m:t>
                      </m:r>
                    </m:sub>
                  </m:sSub>
                  <m:f>
                    <m:fPr>
                      <m:ctrlP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𝒮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ru-RU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den>
                  </m:f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&lt;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𝑎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&lt; </m:t>
                  </m:r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  <m:r>
                    <m:rPr>
                      <m:nor/>
                    </m:rPr>
                    <a:rPr lang="en-US" sz="1100"/>
                    <m:t> </m:t>
                  </m:r>
                  <m:r>
                    <m:rPr>
                      <m:nor/>
                    </m:rPr>
                    <a:rPr lang="en-US" sz="1100" b="0" i="0"/>
                    <m:t>+</m:t>
                  </m:r>
                  <m:r>
                    <m:rPr>
                      <m:nor/>
                    </m:rPr>
                    <a:rPr lang="en-US" sz="1100"/>
                    <m:t> </m:t>
                  </m:r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𝛾</m:t>
                      </m:r>
                    </m:sub>
                  </m:sSub>
                  <m:f>
                    <m:fPr>
                      <m:ctrlP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ru-RU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𝒮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ru-RU" sz="11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𝑛</m:t>
                          </m:r>
                        </m:e>
                      </m:rad>
                    </m:den>
                  </m:f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22717EC-AA94-194B-94E5-39CC90545F14}"/>
                </a:ext>
              </a:extLst>
            </xdr:cNvPr>
            <xdr:cNvSpPr txBox="1"/>
          </xdr:nvSpPr>
          <xdr:spPr>
            <a:xfrm>
              <a:off x="4608078" y="5133757"/>
              <a:ext cx="1473139" cy="255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/>
                <a:t> -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  𝒮/√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𝑛&lt;𝑎&lt; 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"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+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ru-RU" sz="1100" i="0">
                  <a:latin typeface="Cambria Math" panose="02040503050406030204" pitchFamily="18" charset="0"/>
                </a:rPr>
                <a:t>"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  𝒮/√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1464137</xdr:colOff>
      <xdr:row>22</xdr:row>
      <xdr:rowOff>19078</xdr:rowOff>
    </xdr:from>
    <xdr:to>
      <xdr:col>6</xdr:col>
      <xdr:colOff>27609</xdr:colOff>
      <xdr:row>22</xdr:row>
      <xdr:rowOff>400534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4591EED-64A9-7C46-9698-B2981A45C4DF}"/>
                </a:ext>
              </a:extLst>
            </xdr:cNvPr>
            <xdr:cNvSpPr txBox="1"/>
          </xdr:nvSpPr>
          <xdr:spPr>
            <a:xfrm>
              <a:off x="4438974" y="6803915"/>
              <a:ext cx="1842005" cy="381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𝒮</m:t>
                            </m:r>
                          </m:e>
                          <m:sup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𝜒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 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−1)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𝒮</m:t>
                            </m:r>
                          </m:e>
                          <m:sup>
                            <m:r>
                              <a:rPr lang="ru-RU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𝜒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4591EED-64A9-7C46-9698-B2981A45C4DF}"/>
                </a:ext>
              </a:extLst>
            </xdr:cNvPr>
            <xdr:cNvSpPr txBox="1"/>
          </xdr:nvSpPr>
          <xdr:spPr>
            <a:xfrm>
              <a:off x="4438974" y="6803915"/>
              <a:ext cx="1842005" cy="381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〖(𝑛−1)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𝒮〗^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/(</a:t>
              </a:r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2^2 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2&lt; </a:t>
              </a:r>
              <a:r>
                <a:rPr lang="en-US" sz="1100" b="0" i="0">
                  <a:latin typeface="Cambria Math" panose="02040503050406030204" pitchFamily="18" charset="0"/>
                </a:rPr>
                <a:t> 〖(𝑛−1)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𝒮〗^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/(</a:t>
              </a:r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1^2 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3</xdr:col>
      <xdr:colOff>376297</xdr:colOff>
      <xdr:row>23</xdr:row>
      <xdr:rowOff>11339</xdr:rowOff>
    </xdr:from>
    <xdr:ext cx="723613" cy="1796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A50FB1-CD43-5248-87BD-80FB0F466461}"/>
                </a:ext>
              </a:extLst>
            </xdr:cNvPr>
            <xdr:cNvSpPr txBox="1"/>
          </xdr:nvSpPr>
          <xdr:spPr>
            <a:xfrm>
              <a:off x="3353069" y="7221445"/>
              <a:ext cx="723613" cy="179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𝜒</m:t>
                        </m:r>
                      </m:e>
                      <m:sub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A50FB1-CD43-5248-87BD-80FB0F466461}"/>
                </a:ext>
              </a:extLst>
            </xdr:cNvPr>
            <xdr:cNvSpPr txBox="1"/>
          </xdr:nvSpPr>
          <xdr:spPr>
            <a:xfrm>
              <a:off x="3353069" y="7221445"/>
              <a:ext cx="723613" cy="179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1^2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349418</xdr:colOff>
      <xdr:row>24</xdr:row>
      <xdr:rowOff>11339</xdr:rowOff>
    </xdr:from>
    <xdr:ext cx="768918" cy="179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DAF5E125-860F-0143-AA6F-D29873D06005}"/>
                </a:ext>
              </a:extLst>
            </xdr:cNvPr>
            <xdr:cNvSpPr txBox="1"/>
          </xdr:nvSpPr>
          <xdr:spPr>
            <a:xfrm>
              <a:off x="3326190" y="7423032"/>
              <a:ext cx="768918" cy="179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𝜒</m:t>
                        </m:r>
                      </m:e>
                      <m:sub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DAF5E125-860F-0143-AA6F-D29873D06005}"/>
                </a:ext>
              </a:extLst>
            </xdr:cNvPr>
            <xdr:cNvSpPr txBox="1"/>
          </xdr:nvSpPr>
          <xdr:spPr>
            <a:xfrm>
              <a:off x="3326190" y="7423032"/>
              <a:ext cx="768918" cy="179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2^2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4</xdr:col>
      <xdr:colOff>208307</xdr:colOff>
      <xdr:row>29</xdr:row>
      <xdr:rowOff>5457</xdr:rowOff>
    </xdr:from>
    <xdr:to>
      <xdr:col>5</xdr:col>
      <xdr:colOff>692116</xdr:colOff>
      <xdr:row>29</xdr:row>
      <xdr:rowOff>386913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3F6F9D0-FCA2-B84C-9C12-377CDB8561C5}"/>
                </a:ext>
              </a:extLst>
            </xdr:cNvPr>
            <xdr:cNvSpPr txBox="1"/>
          </xdr:nvSpPr>
          <xdr:spPr>
            <a:xfrm>
              <a:off x="4683545" y="8794663"/>
              <a:ext cx="1310317" cy="381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sSup>
                          <m:sSupPr>
                            <m:ctrlP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2∗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𝜒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 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sSup>
                          <m:sSupPr>
                            <m:ctrlP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2∗</m:t>
                            </m:r>
                          </m:sup>
                        </m:sSup>
                      </m:num>
                      <m:den>
                        <m:sSubSup>
                          <m:sSubSupPr>
                            <m:ctrlPr>
                              <a:rPr lang="ru-RU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𝜒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3F6F9D0-FCA2-B84C-9C12-377CDB8561C5}"/>
                </a:ext>
              </a:extLst>
            </xdr:cNvPr>
            <xdr:cNvSpPr txBox="1"/>
          </xdr:nvSpPr>
          <xdr:spPr>
            <a:xfrm>
              <a:off x="4683545" y="8794663"/>
              <a:ext cx="1310317" cy="381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2∗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))/(</a:t>
              </a:r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2^2 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2&lt;  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2∗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))/(</a:t>
              </a:r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1^2 </a:t>
              </a:r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3</xdr:col>
      <xdr:colOff>388056</xdr:colOff>
      <xdr:row>30</xdr:row>
      <xdr:rowOff>17638</xdr:rowOff>
    </xdr:from>
    <xdr:ext cx="711854" cy="1796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7962426-880C-DC44-A2FD-B62BF5A9299E}"/>
                </a:ext>
              </a:extLst>
            </xdr:cNvPr>
            <xdr:cNvSpPr txBox="1"/>
          </xdr:nvSpPr>
          <xdr:spPr>
            <a:xfrm>
              <a:off x="3369028" y="9057569"/>
              <a:ext cx="711854" cy="179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𝜒</m:t>
                        </m:r>
                      </m:e>
                      <m:sub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7962426-880C-DC44-A2FD-B62BF5A9299E}"/>
                </a:ext>
              </a:extLst>
            </xdr:cNvPr>
            <xdr:cNvSpPr txBox="1"/>
          </xdr:nvSpPr>
          <xdr:spPr>
            <a:xfrm>
              <a:off x="3369028" y="9057569"/>
              <a:ext cx="711854" cy="1796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1^2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361597</xdr:colOff>
      <xdr:row>31</xdr:row>
      <xdr:rowOff>17639</xdr:rowOff>
    </xdr:from>
    <xdr:ext cx="756739" cy="1797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9EF9603-0A90-0849-8E2A-DEACF2DCE767}"/>
                </a:ext>
              </a:extLst>
            </xdr:cNvPr>
            <xdr:cNvSpPr txBox="1"/>
          </xdr:nvSpPr>
          <xdr:spPr>
            <a:xfrm>
              <a:off x="3342569" y="9260417"/>
              <a:ext cx="756739" cy="179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𝜒</m:t>
                        </m:r>
                      </m:e>
                      <m:sub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9EF9603-0A90-0849-8E2A-DEACF2DCE767}"/>
                </a:ext>
              </a:extLst>
            </xdr:cNvPr>
            <xdr:cNvSpPr txBox="1"/>
          </xdr:nvSpPr>
          <xdr:spPr>
            <a:xfrm>
              <a:off x="3342569" y="9260417"/>
              <a:ext cx="756739" cy="179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𝜒</a:t>
              </a:r>
              <a:r>
                <a:rPr lang="ru-RU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ru-RU" sz="1100" i="0">
                  <a:latin typeface="Cambria Math" panose="02040503050406030204" pitchFamily="18" charset="0"/>
                </a:rPr>
                <a:t>2^2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8</xdr:col>
      <xdr:colOff>555020</xdr:colOff>
      <xdr:row>0</xdr:row>
      <xdr:rowOff>201234</xdr:rowOff>
    </xdr:from>
    <xdr:to>
      <xdr:col>8</xdr:col>
      <xdr:colOff>1373706</xdr:colOff>
      <xdr:row>0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875711C-5C48-9449-BDC9-B070022573E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161820" y="13523534"/>
              <a:ext cx="818686" cy="206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875711C-5C48-9449-BDC9-B070022573E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161820" y="13523534"/>
              <a:ext cx="818686" cy="206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9</xdr:col>
      <xdr:colOff>8038</xdr:colOff>
      <xdr:row>0</xdr:row>
      <xdr:rowOff>16075</xdr:rowOff>
    </xdr:from>
    <xdr:to>
      <xdr:col>10</xdr:col>
      <xdr:colOff>967</xdr:colOff>
      <xdr:row>0</xdr:row>
      <xdr:rowOff>189786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849162D-AB82-464F-9C13-326A65221752}"/>
                </a:ext>
              </a:extLst>
            </xdr:cNvPr>
            <xdr:cNvSpPr txBox="1"/>
          </xdr:nvSpPr>
          <xdr:spPr>
            <a:xfrm>
              <a:off x="8785506" y="16075"/>
              <a:ext cx="852993" cy="173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849162D-AB82-464F-9C13-326A65221752}"/>
                </a:ext>
              </a:extLst>
            </xdr:cNvPr>
            <xdr:cNvSpPr txBox="1"/>
          </xdr:nvSpPr>
          <xdr:spPr>
            <a:xfrm>
              <a:off x="8785506" y="16075"/>
              <a:ext cx="852993" cy="173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10</xdr:col>
      <xdr:colOff>22679</xdr:colOff>
      <xdr:row>0</xdr:row>
      <xdr:rowOff>22677</xdr:rowOff>
    </xdr:from>
    <xdr:to>
      <xdr:col>10</xdr:col>
      <xdr:colOff>822931</xdr:colOff>
      <xdr:row>0</xdr:row>
      <xdr:rowOff>189786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DF5EEE6-7B38-054F-9DDD-BC9D2A4A3CBC}"/>
                </a:ext>
              </a:extLst>
            </xdr:cNvPr>
            <xdr:cNvSpPr txBox="1"/>
          </xdr:nvSpPr>
          <xdr:spPr>
            <a:xfrm>
              <a:off x="7414079" y="13548177"/>
              <a:ext cx="800252" cy="167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DF5EEE6-7B38-054F-9DDD-BC9D2A4A3CBC}"/>
                </a:ext>
              </a:extLst>
            </xdr:cNvPr>
            <xdr:cNvSpPr txBox="1"/>
          </xdr:nvSpPr>
          <xdr:spPr>
            <a:xfrm>
              <a:off x="7414079" y="13548177"/>
              <a:ext cx="800252" cy="167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(𝑐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𝑖−𝑎)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11</xdr:col>
      <xdr:colOff>22679</xdr:colOff>
      <xdr:row>0</xdr:row>
      <xdr:rowOff>22677</xdr:rowOff>
    </xdr:from>
    <xdr:to>
      <xdr:col>11</xdr:col>
      <xdr:colOff>822931</xdr:colOff>
      <xdr:row>0</xdr:row>
      <xdr:rowOff>189786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624EB40-D0B6-2D4F-B14C-CAAF137AD822}"/>
                </a:ext>
              </a:extLst>
            </xdr:cNvPr>
            <xdr:cNvSpPr txBox="1"/>
          </xdr:nvSpPr>
          <xdr:spPr>
            <a:xfrm>
              <a:off x="8239579" y="13548177"/>
              <a:ext cx="800252" cy="167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624EB40-D0B6-2D4F-B14C-CAAF137AD822}"/>
                </a:ext>
              </a:extLst>
            </xdr:cNvPr>
            <xdr:cNvSpPr txBox="1"/>
          </xdr:nvSpPr>
          <xdr:spPr>
            <a:xfrm>
              <a:off x="8239579" y="13548177"/>
              <a:ext cx="800252" cy="167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〖〖</a:t>
              </a:r>
              <a:r>
                <a:rPr lang="en-US" sz="1100" b="0" i="0">
                  <a:latin typeface="Cambria Math" panose="02040503050406030204" pitchFamily="18" charset="0"/>
                </a:rPr>
                <a:t>(𝑐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𝑖−𝑎)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12</xdr:col>
      <xdr:colOff>11338</xdr:colOff>
      <xdr:row>0</xdr:row>
      <xdr:rowOff>16075</xdr:rowOff>
    </xdr:from>
    <xdr:to>
      <xdr:col>12</xdr:col>
      <xdr:colOff>852025</xdr:colOff>
      <xdr:row>0</xdr:row>
      <xdr:rowOff>189786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136EF337-C5C1-E04D-9A30-94C1AB4936FE}"/>
                </a:ext>
              </a:extLst>
            </xdr:cNvPr>
            <xdr:cNvSpPr txBox="1"/>
          </xdr:nvSpPr>
          <xdr:spPr>
            <a:xfrm>
              <a:off x="11368996" y="16075"/>
              <a:ext cx="840687" cy="173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136EF337-C5C1-E04D-9A30-94C1AB4936FE}"/>
                </a:ext>
              </a:extLst>
            </xdr:cNvPr>
            <xdr:cNvSpPr txBox="1"/>
          </xdr:nvSpPr>
          <xdr:spPr>
            <a:xfrm>
              <a:off x="11368996" y="16075"/>
              <a:ext cx="840687" cy="173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〖〖</a:t>
              </a:r>
              <a:r>
                <a:rPr lang="en-US" sz="1100" b="0" i="0">
                  <a:latin typeface="Cambria Math" panose="02040503050406030204" pitchFamily="18" charset="0"/>
                </a:rPr>
                <a:t>(𝑐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𝑖−𝑎)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 𝑛_𝑖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7</xdr:col>
      <xdr:colOff>835948</xdr:colOff>
      <xdr:row>0</xdr:row>
      <xdr:rowOff>0</xdr:rowOff>
    </xdr:from>
    <xdr:to>
      <xdr:col>8</xdr:col>
      <xdr:colOff>852024</xdr:colOff>
      <xdr:row>1</xdr:row>
      <xdr:rowOff>5124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F063B9-F9EC-734A-B297-62E5B44E8BD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917404" y="0"/>
              <a:ext cx="852025" cy="206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F063B9-F9EC-734A-B297-62E5B44E8BD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917404" y="0"/>
              <a:ext cx="852025" cy="206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1</xdr:row>
      <xdr:rowOff>201234</xdr:rowOff>
    </xdr:from>
    <xdr:to>
      <xdr:col>8</xdr:col>
      <xdr:colOff>1373706</xdr:colOff>
      <xdr:row>1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DD9DCB72-1605-BD43-908F-EAB7F2E37ED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DD9DCB72-1605-BD43-908F-EAB7F2E37ED6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2</xdr:row>
      <xdr:rowOff>201234</xdr:rowOff>
    </xdr:from>
    <xdr:to>
      <xdr:col>8</xdr:col>
      <xdr:colOff>1373706</xdr:colOff>
      <xdr:row>2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6EDFF0F-DC4A-A84F-B5E1-14FE36A11C8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6EDFF0F-DC4A-A84F-B5E1-14FE36A11C8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3</xdr:row>
      <xdr:rowOff>201234</xdr:rowOff>
    </xdr:from>
    <xdr:to>
      <xdr:col>8</xdr:col>
      <xdr:colOff>1373706</xdr:colOff>
      <xdr:row>3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C0AF92-F852-1145-9A61-5E6CB35B63F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C0AF92-F852-1145-9A61-5E6CB35B63F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4</xdr:row>
      <xdr:rowOff>201234</xdr:rowOff>
    </xdr:from>
    <xdr:to>
      <xdr:col>8</xdr:col>
      <xdr:colOff>1373706</xdr:colOff>
      <xdr:row>4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9823C70-8ACC-5246-83A6-B8E392F9A11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9823C70-8ACC-5246-83A6-B8E392F9A11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5</xdr:row>
      <xdr:rowOff>201234</xdr:rowOff>
    </xdr:from>
    <xdr:to>
      <xdr:col>8</xdr:col>
      <xdr:colOff>1373706</xdr:colOff>
      <xdr:row>5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BF91E7E-F326-4847-BDB1-7DBA0F31D3E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BF91E7E-F326-4847-BDB1-7DBA0F31D3E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6</xdr:row>
      <xdr:rowOff>201234</xdr:rowOff>
    </xdr:from>
    <xdr:to>
      <xdr:col>8</xdr:col>
      <xdr:colOff>1373706</xdr:colOff>
      <xdr:row>6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BA9A0D3-EC7E-7F44-847A-69478705B3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BA9A0D3-EC7E-7F44-847A-69478705B3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6</xdr:row>
      <xdr:rowOff>201234</xdr:rowOff>
    </xdr:from>
    <xdr:to>
      <xdr:col>8</xdr:col>
      <xdr:colOff>1373706</xdr:colOff>
      <xdr:row>6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A2390DC-B140-F44C-AFC5-E9DA5DA1392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A2390DC-B140-F44C-AFC5-E9DA5DA1392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7</xdr:row>
      <xdr:rowOff>201234</xdr:rowOff>
    </xdr:from>
    <xdr:to>
      <xdr:col>8</xdr:col>
      <xdr:colOff>1373706</xdr:colOff>
      <xdr:row>7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7FEB4CAF-DAFE-C449-AA30-00370BA2ED2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7FEB4CAF-DAFE-C449-AA30-00370BA2ED2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8</xdr:row>
      <xdr:rowOff>201234</xdr:rowOff>
    </xdr:from>
    <xdr:to>
      <xdr:col>8</xdr:col>
      <xdr:colOff>1373706</xdr:colOff>
      <xdr:row>8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C37FA5D8-B08B-DF40-AD88-D91626EB0038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C37FA5D8-B08B-DF40-AD88-D91626EB0038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8</xdr:row>
      <xdr:rowOff>201234</xdr:rowOff>
    </xdr:from>
    <xdr:to>
      <xdr:col>8</xdr:col>
      <xdr:colOff>1373706</xdr:colOff>
      <xdr:row>8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C622A3C9-70E5-554C-8614-5E6ADB894248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C622A3C9-70E5-554C-8614-5E6ADB894248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20123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9</xdr:row>
      <xdr:rowOff>201234</xdr:rowOff>
    </xdr:from>
    <xdr:to>
      <xdr:col>8</xdr:col>
      <xdr:colOff>1373706</xdr:colOff>
      <xdr:row>9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BB1E085-14A3-D04B-B39A-915690EB0282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CBB1E085-14A3-D04B-B39A-915690EB0282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402183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555020</xdr:colOff>
      <xdr:row>10</xdr:row>
      <xdr:rowOff>201234</xdr:rowOff>
    </xdr:from>
    <xdr:to>
      <xdr:col>8</xdr:col>
      <xdr:colOff>1373706</xdr:colOff>
      <xdr:row>10</xdr:row>
      <xdr:rowOff>204107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680E4F4A-1DC5-3546-A5F6-F648251EE10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680E4F4A-1DC5-3546-A5F6-F648251EE10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72425" y="755854"/>
              <a:ext cx="348786" cy="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72588</xdr:colOff>
      <xdr:row>1</xdr:row>
      <xdr:rowOff>49277</xdr:rowOff>
    </xdr:from>
    <xdr:ext cx="265480" cy="2700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EAA68BA-EF89-7D47-ABE0-2350A74ABA91}"/>
                </a:ext>
              </a:extLst>
            </xdr:cNvPr>
            <xdr:cNvSpPr txBox="1"/>
          </xdr:nvSpPr>
          <xdr:spPr>
            <a:xfrm>
              <a:off x="72588" y="250864"/>
              <a:ext cx="265480" cy="270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𝑛</m:t>
                  </m:r>
                </m:oMath>
              </a14:m>
              <a:r>
                <a:rPr lang="en-US" sz="1100" b="0"/>
                <a:t> =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EAA68BA-EF89-7D47-ABE0-2350A74ABA91}"/>
                </a:ext>
              </a:extLst>
            </xdr:cNvPr>
            <xdr:cNvSpPr txBox="1"/>
          </xdr:nvSpPr>
          <xdr:spPr>
            <a:xfrm>
              <a:off x="72588" y="250864"/>
              <a:ext cx="265480" cy="270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n-US" sz="1100" b="0"/>
                <a:t> =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67112</xdr:colOff>
      <xdr:row>2</xdr:row>
      <xdr:rowOff>49940</xdr:rowOff>
    </xdr:from>
    <xdr:ext cx="262593" cy="1977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C04F5B1-4F54-B94B-B893-6D2864850968}"/>
                </a:ext>
              </a:extLst>
            </xdr:cNvPr>
            <xdr:cNvSpPr txBox="1"/>
          </xdr:nvSpPr>
          <xdr:spPr>
            <a:xfrm>
              <a:off x="67112" y="634543"/>
              <a:ext cx="262593" cy="1977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𝑎</m:t>
                  </m:r>
                </m:oMath>
              </a14:m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C04F5B1-4F54-B94B-B893-6D2864850968}"/>
                </a:ext>
              </a:extLst>
            </xdr:cNvPr>
            <xdr:cNvSpPr txBox="1"/>
          </xdr:nvSpPr>
          <xdr:spPr>
            <a:xfrm>
              <a:off x="67112" y="634543"/>
              <a:ext cx="262593" cy="1977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</a:t>
              </a:r>
              <a:r>
                <a:rPr lang="en-US" sz="1100"/>
                <a:t> =</a:t>
              </a: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43243</xdr:colOff>
      <xdr:row>3</xdr:row>
      <xdr:rowOff>399921</xdr:rowOff>
    </xdr:from>
    <xdr:ext cx="265858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1E0CAB-BDCE-014D-A409-3D1623E0BCDB}"/>
                </a:ext>
              </a:extLst>
            </xdr:cNvPr>
            <xdr:cNvSpPr txBox="1"/>
          </xdr:nvSpPr>
          <xdr:spPr>
            <a:xfrm>
              <a:off x="43243" y="1300344"/>
              <a:ext cx="26585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</m:acc>
                </m:oMath>
              </a14:m>
              <a:r>
                <a:rPr lang="en-US" sz="1100"/>
                <a:t>  =</a:t>
              </a:r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1E0CAB-BDCE-014D-A409-3D1623E0BCDB}"/>
                </a:ext>
              </a:extLst>
            </xdr:cNvPr>
            <xdr:cNvSpPr txBox="1"/>
          </xdr:nvSpPr>
          <xdr:spPr>
            <a:xfrm>
              <a:off x="43243" y="1300344"/>
              <a:ext cx="26585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/>
                <a:t>  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301938</xdr:colOff>
      <xdr:row>4</xdr:row>
      <xdr:rowOff>145443</xdr:rowOff>
    </xdr:from>
    <xdr:ext cx="28906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A1CD1B-B621-5543-ACA6-5B69094C0D15}"/>
                </a:ext>
              </a:extLst>
            </xdr:cNvPr>
            <xdr:cNvSpPr txBox="1"/>
          </xdr:nvSpPr>
          <xdr:spPr>
            <a:xfrm>
              <a:off x="301938" y="2000046"/>
              <a:ext cx="28906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𝒮</m:t>
                  </m:r>
                </m:oMath>
              </a14:m>
              <a:r>
                <a:rPr lang="en-US" sz="1100"/>
                <a:t> =</a:t>
              </a:r>
              <a:r>
                <a:rPr lang="ru-RU" sz="1100" baseline="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0A1CD1B-B621-5543-ACA6-5B69094C0D15}"/>
                </a:ext>
              </a:extLst>
            </xdr:cNvPr>
            <xdr:cNvSpPr txBox="1"/>
          </xdr:nvSpPr>
          <xdr:spPr>
            <a:xfrm>
              <a:off x="301938" y="2000046"/>
              <a:ext cx="28906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en-US" sz="1100"/>
                <a:t> =</a:t>
              </a:r>
              <a:r>
                <a:rPr lang="ru-RU" sz="1100" baseline="0"/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749269</xdr:colOff>
      <xdr:row>1</xdr:row>
      <xdr:rowOff>85986</xdr:rowOff>
    </xdr:from>
    <xdr:ext cx="608588" cy="1771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E8DD80A-0C7B-C648-85A8-E3923AB47A5B}"/>
                </a:ext>
              </a:extLst>
            </xdr:cNvPr>
            <xdr:cNvSpPr txBox="1"/>
          </xdr:nvSpPr>
          <xdr:spPr>
            <a:xfrm flipH="1">
              <a:off x="5369650" y="291605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E8DD80A-0C7B-C648-85A8-E3923AB47A5B}"/>
                </a:ext>
              </a:extLst>
            </xdr:cNvPr>
            <xdr:cNvSpPr txBox="1"/>
          </xdr:nvSpPr>
          <xdr:spPr>
            <a:xfrm flipH="1">
              <a:off x="5369650" y="291605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85705</xdr:colOff>
      <xdr:row>1</xdr:row>
      <xdr:rowOff>84849</xdr:rowOff>
    </xdr:from>
    <xdr:ext cx="646687" cy="1722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C2ED924-2814-B34A-84DE-FB40A2D88422}"/>
                </a:ext>
              </a:extLst>
            </xdr:cNvPr>
            <xdr:cNvSpPr txBox="1"/>
          </xdr:nvSpPr>
          <xdr:spPr>
            <a:xfrm flipH="1">
              <a:off x="5383865" y="287426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C2ED924-2814-B34A-84DE-FB40A2D88422}"/>
                </a:ext>
              </a:extLst>
            </xdr:cNvPr>
            <xdr:cNvSpPr txBox="1"/>
          </xdr:nvSpPr>
          <xdr:spPr>
            <a:xfrm flipH="1">
              <a:off x="5383865" y="287426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5921</xdr:colOff>
      <xdr:row>1</xdr:row>
      <xdr:rowOff>93497</xdr:rowOff>
    </xdr:from>
    <xdr:to>
      <xdr:col>7</xdr:col>
      <xdr:colOff>820778</xdr:colOff>
      <xdr:row>1</xdr:row>
      <xdr:rowOff>303864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ECAAD7E-EA2C-6B42-8F9C-8A6C5778CDE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6129970" y="296074"/>
              <a:ext cx="814857" cy="210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𝜈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ECAAD7E-EA2C-6B42-8F9C-8A6C5778CDE4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6129970" y="296074"/>
              <a:ext cx="814857" cy="210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𝜈_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200"/>
            </a:p>
          </xdr:txBody>
        </xdr:sp>
      </mc:Fallback>
    </mc:AlternateContent>
    <xdr:clientData/>
  </xdr:twoCellAnchor>
  <xdr:oneCellAnchor>
    <xdr:from>
      <xdr:col>1</xdr:col>
      <xdr:colOff>287424</xdr:colOff>
      <xdr:row>18</xdr:row>
      <xdr:rowOff>56564</xdr:rowOff>
    </xdr:from>
    <xdr:ext cx="608588" cy="17717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432F09A-43B7-3349-9517-4F7FEB03410E}"/>
                </a:ext>
              </a:extLst>
            </xdr:cNvPr>
            <xdr:cNvSpPr txBox="1"/>
          </xdr:nvSpPr>
          <xdr:spPr>
            <a:xfrm flipH="1">
              <a:off x="1113314" y="5627423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432F09A-43B7-3349-9517-4F7FEB03410E}"/>
                </a:ext>
              </a:extLst>
            </xdr:cNvPr>
            <xdr:cNvSpPr txBox="1"/>
          </xdr:nvSpPr>
          <xdr:spPr>
            <a:xfrm flipH="1">
              <a:off x="1113314" y="5627423"/>
              <a:ext cx="608588" cy="1771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101287</xdr:colOff>
      <xdr:row>18</xdr:row>
      <xdr:rowOff>45892</xdr:rowOff>
    </xdr:from>
    <xdr:ext cx="646687" cy="1722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6D303F6-318E-4642-99C4-B281F0E109ED}"/>
                </a:ext>
              </a:extLst>
            </xdr:cNvPr>
            <xdr:cNvSpPr txBox="1"/>
          </xdr:nvSpPr>
          <xdr:spPr>
            <a:xfrm flipH="1">
              <a:off x="2095888" y="5616751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6D303F6-318E-4642-99C4-B281F0E109ED}"/>
                </a:ext>
              </a:extLst>
            </xdr:cNvPr>
            <xdr:cNvSpPr txBox="1"/>
          </xdr:nvSpPr>
          <xdr:spPr>
            <a:xfrm flipH="1">
              <a:off x="2095888" y="5616751"/>
              <a:ext cx="646687" cy="172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3</xdr:col>
      <xdr:colOff>76043</xdr:colOff>
      <xdr:row>18</xdr:row>
      <xdr:rowOff>38957</xdr:rowOff>
    </xdr:from>
    <xdr:to>
      <xdr:col>3</xdr:col>
      <xdr:colOff>763559</xdr:colOff>
      <xdr:row>18</xdr:row>
      <xdr:rowOff>272699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15CA30C-F655-7149-A7BD-525A08F2FC5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896534" y="5609816"/>
              <a:ext cx="687516" cy="233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15CA30C-F655-7149-A7BD-525A08F2FC5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2896534" y="5609816"/>
              <a:ext cx="687516" cy="2337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𝑛</a:t>
              </a:r>
              <a:r>
                <a:rPr lang="ru-RU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</a:t>
              </a:r>
              <a:endParaRPr lang="ru-RU" sz="1200"/>
            </a:p>
          </xdr:txBody>
        </xdr:sp>
      </mc:Fallback>
    </mc:AlternateContent>
    <xdr:clientData/>
  </xdr:twoCellAnchor>
  <xdr:twoCellAnchor>
    <xdr:from>
      <xdr:col>1</xdr:col>
      <xdr:colOff>23375</xdr:colOff>
      <xdr:row>19</xdr:row>
      <xdr:rowOff>15582</xdr:rowOff>
    </xdr:from>
    <xdr:to>
      <xdr:col>1</xdr:col>
      <xdr:colOff>1137546</xdr:colOff>
      <xdr:row>19</xdr:row>
      <xdr:rowOff>187681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A9A0372-81F4-B949-B238-3BDE2190857A}"/>
                </a:ext>
              </a:extLst>
            </xdr:cNvPr>
            <xdr:cNvSpPr txBox="1"/>
          </xdr:nvSpPr>
          <xdr:spPr>
            <a:xfrm>
              <a:off x="849265" y="5789018"/>
              <a:ext cx="1114171" cy="172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A9A0372-81F4-B949-B238-3BDE2190857A}"/>
                </a:ext>
              </a:extLst>
            </xdr:cNvPr>
            <xdr:cNvSpPr txBox="1"/>
          </xdr:nvSpPr>
          <xdr:spPr>
            <a:xfrm>
              <a:off x="849265" y="5789018"/>
              <a:ext cx="1114171" cy="172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23374</xdr:colOff>
      <xdr:row>25</xdr:row>
      <xdr:rowOff>15583</xdr:rowOff>
    </xdr:from>
    <xdr:to>
      <xdr:col>2</xdr:col>
      <xdr:colOff>786934</xdr:colOff>
      <xdr:row>26</xdr:row>
      <xdr:rowOff>687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81E74B9-6809-5B49-904C-86499F2835F2}"/>
                </a:ext>
              </a:extLst>
            </xdr:cNvPr>
            <xdr:cNvSpPr txBox="1"/>
          </xdr:nvSpPr>
          <xdr:spPr>
            <a:xfrm>
              <a:off x="2017975" y="7004479"/>
              <a:ext cx="763560" cy="187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right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∞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81E74B9-6809-5B49-904C-86499F2835F2}"/>
                </a:ext>
              </a:extLst>
            </xdr:cNvPr>
            <xdr:cNvSpPr txBox="1"/>
          </xdr:nvSpPr>
          <xdr:spPr>
            <a:xfrm>
              <a:off x="2017975" y="7004479"/>
              <a:ext cx="763560" cy="187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15583</xdr:colOff>
      <xdr:row>26</xdr:row>
      <xdr:rowOff>15584</xdr:rowOff>
    </xdr:from>
    <xdr:to>
      <xdr:col>0</xdr:col>
      <xdr:colOff>794725</xdr:colOff>
      <xdr:row>26</xdr:row>
      <xdr:rowOff>194786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3B59ABA-75CA-B146-9DA0-4C3A369B238F}"/>
                </a:ext>
              </a:extLst>
            </xdr:cNvPr>
            <xdr:cNvSpPr txBox="1"/>
          </xdr:nvSpPr>
          <xdr:spPr>
            <a:xfrm>
              <a:off x="15583" y="7207056"/>
              <a:ext cx="779142" cy="179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∑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3B59ABA-75CA-B146-9DA0-4C3A369B238F}"/>
                </a:ext>
              </a:extLst>
            </xdr:cNvPr>
            <xdr:cNvSpPr txBox="1"/>
          </xdr:nvSpPr>
          <xdr:spPr>
            <a:xfrm>
              <a:off x="15583" y="7207056"/>
              <a:ext cx="779142" cy="179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4</xdr:col>
      <xdr:colOff>60458</xdr:colOff>
      <xdr:row>18</xdr:row>
      <xdr:rowOff>31166</xdr:rowOff>
    </xdr:from>
    <xdr:to>
      <xdr:col>4</xdr:col>
      <xdr:colOff>919387</xdr:colOff>
      <xdr:row>18</xdr:row>
      <xdr:rowOff>350613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2A282-483F-2C49-87C6-25B4400BD9A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706838" y="5602025"/>
              <a:ext cx="858929" cy="3194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A182A282-483F-2C49-87C6-25B4400BD9A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706838" y="5602025"/>
              <a:ext cx="858929" cy="3194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0 ((𝑎_𝑖  − 𝑥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5</xdr:col>
      <xdr:colOff>45771</xdr:colOff>
      <xdr:row>18</xdr:row>
      <xdr:rowOff>38957</xdr:rowOff>
    </xdr:from>
    <xdr:to>
      <xdr:col>5</xdr:col>
      <xdr:colOff>2049141</xdr:colOff>
      <xdr:row>18</xdr:row>
      <xdr:rowOff>358405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1943EA6-2033-4741-B170-2922899C014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658286" y="5609816"/>
              <a:ext cx="2003370" cy="3194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ru-RU" sz="10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num>
                          <m:den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𝒮</m:t>
                            </m:r>
                          </m:den>
                        </m:f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 </m:t>
                    </m:r>
                    <m:sSub>
                      <m:sSubPr>
                        <m:ctrlPr>
                          <a:rPr lang="ru-RU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d>
                      <m:d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 − </m:t>
                            </m:r>
                            <m:acc>
                              <m:accPr>
                                <m:chr m:val="̅"/>
                                <m:ctrlPr>
                                  <a:rPr lang="ru-RU" sz="105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num>
                          <m:den>
                            <m:r>
                              <a:rPr lang="en-US" sz="105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𝒮</m:t>
                            </m:r>
                          </m:den>
                        </m:f>
                      </m:e>
                    </m:d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05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1943EA6-2033-4741-B170-2922899C014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4658286" y="5609816"/>
              <a:ext cx="2003370" cy="3194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𝐹</a:t>
              </a:r>
              <a:r>
                <a:rPr lang="ru-RU" sz="1050" b="0" i="0">
                  <a:latin typeface="Cambria Math" panose="02040503050406030204" pitchFamily="18" charset="0"/>
                </a:rPr>
                <a:t>_</a:t>
              </a:r>
              <a:r>
                <a:rPr lang="en-US" sz="1050" b="0" i="0">
                  <a:latin typeface="Cambria Math" panose="02040503050406030204" pitchFamily="18" charset="0"/>
                </a:rPr>
                <a:t>0 ((𝑎_(𝑖+1)  − 𝑥</a:t>
              </a:r>
              <a:r>
                <a:rPr lang="ru-RU" sz="1050" b="0" i="0">
                  <a:latin typeface="Cambria Math" panose="02040503050406030204" pitchFamily="18" charset="0"/>
                </a:rPr>
                <a:t> ̅</a:t>
              </a:r>
              <a:r>
                <a:rPr lang="en-US" sz="1050" b="0" i="0">
                  <a:latin typeface="Cambria Math" panose="02040503050406030204" pitchFamily="18" charset="0"/>
                </a:rPr>
                <a:t>)/</a:t>
              </a: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𝒮)− </a:t>
              </a:r>
              <a:r>
                <a:rPr lang="en-US" sz="1050" b="0" i="0">
                  <a:latin typeface="Cambria Math" panose="02040503050406030204" pitchFamily="18" charset="0"/>
                </a:rPr>
                <a:t>𝐹</a:t>
              </a:r>
              <a:r>
                <a:rPr lang="ru-RU" sz="1050" b="0" i="0">
                  <a:latin typeface="Cambria Math" panose="02040503050406030204" pitchFamily="18" charset="0"/>
                </a:rPr>
                <a:t>_</a:t>
              </a:r>
              <a:r>
                <a:rPr lang="en-US" sz="1050" b="0" i="0">
                  <a:latin typeface="Cambria Math" panose="02040503050406030204" pitchFamily="18" charset="0"/>
                </a:rPr>
                <a:t>0 ((𝑎_𝑖  − 𝑥</a:t>
              </a:r>
              <a:r>
                <a:rPr lang="ru-RU" sz="1050" b="0" i="0">
                  <a:latin typeface="Cambria Math" panose="02040503050406030204" pitchFamily="18" charset="0"/>
                </a:rPr>
                <a:t> ̅</a:t>
              </a:r>
              <a:r>
                <a:rPr lang="en-US" sz="1050" b="0" i="0">
                  <a:latin typeface="Cambria Math" panose="02040503050406030204" pitchFamily="18" charset="0"/>
                </a:rPr>
                <a:t>)/</a:t>
              </a: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𝒮)</a:t>
              </a:r>
              <a:r>
                <a:rPr lang="en-US" sz="1050" b="0" i="0">
                  <a:latin typeface="Cambria Math" panose="02040503050406030204" pitchFamily="18" charset="0"/>
                </a:rPr>
                <a:t>=𝑝</a:t>
              </a:r>
              <a:r>
                <a:rPr lang="ru-RU" sz="1050" b="0" i="0">
                  <a:latin typeface="Cambria Math" panose="02040503050406030204" pitchFamily="18" charset="0"/>
                </a:rPr>
                <a:t>_</a:t>
              </a:r>
              <a:r>
                <a:rPr lang="en-US" sz="1050" b="0" i="0">
                  <a:latin typeface="Cambria Math" panose="02040503050406030204" pitchFamily="18" charset="0"/>
                </a:rPr>
                <a:t>𝑖</a:t>
              </a:r>
              <a:endParaRPr lang="ru-RU" sz="1050"/>
            </a:p>
          </xdr:txBody>
        </xdr:sp>
      </mc:Fallback>
    </mc:AlternateContent>
    <xdr:clientData/>
  </xdr:twoCellAnchor>
  <xdr:twoCellAnchor>
    <xdr:from>
      <xdr:col>6</xdr:col>
      <xdr:colOff>83833</xdr:colOff>
      <xdr:row>18</xdr:row>
      <xdr:rowOff>77913</xdr:rowOff>
    </xdr:from>
    <xdr:to>
      <xdr:col>6</xdr:col>
      <xdr:colOff>763558</xdr:colOff>
      <xdr:row>18</xdr:row>
      <xdr:rowOff>311656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AB6ACF9B-B5E4-3B48-A596-FA82444F0C8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6792238" y="5648772"/>
              <a:ext cx="679725" cy="233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̀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AB6ACF9B-B5E4-3B48-A596-FA82444F0C8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6792238" y="5648772"/>
              <a:ext cx="679725" cy="2337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𝑛𝑝_𝑖=</a:t>
              </a:r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 </a:t>
              </a:r>
              <a:r>
                <a:rPr lang="ru-RU" sz="1100" b="0" i="0">
                  <a:latin typeface="Cambria Math" panose="02040503050406030204" pitchFamily="18" charset="0"/>
                </a:rPr>
                <a:t>) ̀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7</xdr:col>
      <xdr:colOff>83834</xdr:colOff>
      <xdr:row>18</xdr:row>
      <xdr:rowOff>77914</xdr:rowOff>
    </xdr:from>
    <xdr:to>
      <xdr:col>7</xdr:col>
      <xdr:colOff>810307</xdr:colOff>
      <xdr:row>18</xdr:row>
      <xdr:rowOff>264908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AF1939E-8479-0C4F-8E22-33E1483A4E2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618128" y="5648773"/>
              <a:ext cx="726473" cy="186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m:rPr>
                        <m:nor/>
                      </m:rPr>
                      <a:rPr lang="en-US" sz="1100"/>
                      <m:t> </m:t>
                    </m:r>
                    <m:acc>
                      <m:accPr>
                        <m:chr m:val="́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acc>
                    <m:r>
                      <m:rPr>
                        <m:nor/>
                      </m:rPr>
                      <a:rPr lang="en-US" sz="1100"/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3AF1939E-8479-0C4F-8E22-33E1483A4E2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7618128" y="5648773"/>
              <a:ext cx="726473" cy="1869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−"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" (𝑛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 ) ́"</a:t>
              </a:r>
              <a:r>
                <a:rPr lang="en-US" sz="1100" i="0">
                  <a:latin typeface="Cambria Math" panose="02040503050406030204" pitchFamily="18" charset="0"/>
                </a:rPr>
                <a:t> </a:t>
              </a:r>
              <a:r>
                <a:rPr lang="ru-RU" sz="1100" i="0"/>
                <a:t>"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8</xdr:col>
      <xdr:colOff>76043</xdr:colOff>
      <xdr:row>18</xdr:row>
      <xdr:rowOff>7792</xdr:rowOff>
    </xdr:from>
    <xdr:to>
      <xdr:col>8</xdr:col>
      <xdr:colOff>786933</xdr:colOff>
      <xdr:row>18</xdr:row>
      <xdr:rowOff>373988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7D728B6-766D-194F-A5FC-88226162EFC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36227" y="5578651"/>
              <a:ext cx="710890" cy="3661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m:rPr>
                                <m:nor/>
                              </m:rPr>
                              <a:rPr lang="en-US" sz="1100"/>
                              <m:t> </m:t>
                            </m:r>
                            <m:acc>
                              <m:accPr>
                                <m:chr m:val="̀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sSub>
                                  <m:sSub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ac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m:rPr>
                            <m:nor/>
                          </m:rPr>
                          <a:rPr lang="en-US" sz="1100"/>
                          <m:t> </m:t>
                        </m:r>
                      </m:num>
                      <m:den>
                        <m:acc>
                          <m:accPr>
                            <m:chr m:val="́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acc>
                        <m:r>
                          <m:rPr>
                            <m:nor/>
                          </m:rPr>
                          <a:rPr lang="en-US" sz="1100"/>
                          <m:t> 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7D728B6-766D-194F-A5FC-88226162EFCB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8436227" y="5578651"/>
              <a:ext cx="710890" cy="3661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(〖</a:t>
              </a:r>
              <a:r>
                <a:rPr lang="en-US" sz="1100" b="0" i="0">
                  <a:latin typeface="Cambria Math" panose="02040503050406030204" pitchFamily="18" charset="0"/>
                </a:rPr>
                <a:t>(𝑛_𝑖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−"</a:t>
              </a:r>
              <a:r>
                <a:rPr lang="en-US" sz="1100" i="0"/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" (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 ) ̀)</a:t>
              </a:r>
              <a:r>
                <a:rPr lang="ru-RU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 "</a:t>
              </a:r>
              <a:r>
                <a:rPr lang="en-US" sz="1100" i="0"/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" </a:t>
              </a:r>
              <a:r>
                <a:rPr lang="ru-RU" sz="110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(𝑛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 ) ́"</a:t>
              </a:r>
              <a:r>
                <a:rPr lang="en-US" sz="1100" i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171412</xdr:colOff>
      <xdr:row>27</xdr:row>
      <xdr:rowOff>7792</xdr:rowOff>
    </xdr:from>
    <xdr:to>
      <xdr:col>0</xdr:col>
      <xdr:colOff>641312</xdr:colOff>
      <xdr:row>27</xdr:row>
      <xdr:rowOff>189124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BEA1991-73DA-B34E-BAEF-FC960EB32AD2}"/>
                </a:ext>
              </a:extLst>
            </xdr:cNvPr>
            <xdr:cNvSpPr txBox="1"/>
          </xdr:nvSpPr>
          <xdr:spPr>
            <a:xfrm>
              <a:off x="171412" y="7581044"/>
              <a:ext cx="46990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набл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BEA1991-73DA-B34E-BAEF-FC960EB32AD2}"/>
                </a:ext>
              </a:extLst>
            </xdr:cNvPr>
            <xdr:cNvSpPr txBox="1"/>
          </xdr:nvSpPr>
          <xdr:spPr>
            <a:xfrm>
              <a:off x="171412" y="7581044"/>
              <a:ext cx="46990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набл^2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171411</xdr:colOff>
      <xdr:row>28</xdr:row>
      <xdr:rowOff>15583</xdr:rowOff>
    </xdr:from>
    <xdr:to>
      <xdr:col>0</xdr:col>
      <xdr:colOff>641311</xdr:colOff>
      <xdr:row>28</xdr:row>
      <xdr:rowOff>193287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39F4B1F-1B04-A94F-88A3-2386A66F5D08}"/>
                </a:ext>
              </a:extLst>
            </xdr:cNvPr>
            <xdr:cNvSpPr txBox="1"/>
          </xdr:nvSpPr>
          <xdr:spPr>
            <a:xfrm>
              <a:off x="171411" y="7791411"/>
              <a:ext cx="469900" cy="1777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кр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39F4B1F-1B04-A94F-88A3-2386A66F5D08}"/>
                </a:ext>
              </a:extLst>
            </xdr:cNvPr>
            <xdr:cNvSpPr txBox="1"/>
          </xdr:nvSpPr>
          <xdr:spPr>
            <a:xfrm>
              <a:off x="171411" y="7791411"/>
              <a:ext cx="469900" cy="1777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кр^2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6</xdr:col>
      <xdr:colOff>42747</xdr:colOff>
      <xdr:row>30</xdr:row>
      <xdr:rowOff>65519</xdr:rowOff>
    </xdr:from>
    <xdr:to>
      <xdr:col>6</xdr:col>
      <xdr:colOff>805452</xdr:colOff>
      <xdr:row>30</xdr:row>
      <xdr:rowOff>288636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10E12D7-0F24-1640-859F-139D3C341D78}"/>
                </a:ext>
              </a:extLst>
            </xdr:cNvPr>
            <xdr:cNvSpPr txBox="1"/>
          </xdr:nvSpPr>
          <xdr:spPr>
            <a:xfrm>
              <a:off x="6752181" y="8308538"/>
              <a:ext cx="762705" cy="2231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набл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sSubSup>
                      <m:sSubSup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кр</m:t>
                        </m:r>
                      </m:sub>
                      <m:sup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10E12D7-0F24-1640-859F-139D3C341D78}"/>
                </a:ext>
              </a:extLst>
            </xdr:cNvPr>
            <xdr:cNvSpPr txBox="1"/>
          </xdr:nvSpPr>
          <xdr:spPr>
            <a:xfrm>
              <a:off x="6752181" y="8308538"/>
              <a:ext cx="762705" cy="2231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набл^2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&lt;</a:t>
              </a:r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кр^2</a:t>
              </a:r>
              <a:endParaRPr lang="ru-RU"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279560</xdr:colOff>
      <xdr:row>1</xdr:row>
      <xdr:rowOff>15975</xdr:rowOff>
    </xdr:from>
    <xdr:ext cx="30480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F10BD2-283B-EC4C-B9A7-5F85262122C4}"/>
                </a:ext>
              </a:extLst>
            </xdr:cNvPr>
            <xdr:cNvSpPr txBox="1"/>
          </xdr:nvSpPr>
          <xdr:spPr>
            <a:xfrm>
              <a:off x="2752937" y="220008"/>
              <a:ext cx="3048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3F10BD2-283B-EC4C-B9A7-5F85262122C4}"/>
                </a:ext>
              </a:extLst>
            </xdr:cNvPr>
            <xdr:cNvSpPr txBox="1"/>
          </xdr:nvSpPr>
          <xdr:spPr>
            <a:xfrm>
              <a:off x="2752937" y="220008"/>
              <a:ext cx="3048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̅_1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283147</xdr:colOff>
      <xdr:row>2</xdr:row>
      <xdr:rowOff>20819</xdr:rowOff>
    </xdr:from>
    <xdr:ext cx="30480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275DC6-3DCB-9144-800C-FA09B98791B9}"/>
                </a:ext>
              </a:extLst>
            </xdr:cNvPr>
            <xdr:cNvSpPr txBox="1"/>
          </xdr:nvSpPr>
          <xdr:spPr>
            <a:xfrm>
              <a:off x="2756524" y="428885"/>
              <a:ext cx="3048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275DC6-3DCB-9144-800C-FA09B98791B9}"/>
                </a:ext>
              </a:extLst>
            </xdr:cNvPr>
            <xdr:cNvSpPr txBox="1"/>
          </xdr:nvSpPr>
          <xdr:spPr>
            <a:xfrm>
              <a:off x="2756524" y="428885"/>
              <a:ext cx="3048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 ̅_2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37475</xdr:colOff>
      <xdr:row>3</xdr:row>
      <xdr:rowOff>12492</xdr:rowOff>
    </xdr:from>
    <xdr:ext cx="766164" cy="1790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3ED981-BAF8-FA47-9837-C694D3EF9BF6}"/>
                </a:ext>
              </a:extLst>
            </xdr:cNvPr>
            <xdr:cNvSpPr txBox="1"/>
          </xdr:nvSpPr>
          <xdr:spPr>
            <a:xfrm>
              <a:off x="2510852" y="624590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3ED981-BAF8-FA47-9837-C694D3EF9BF6}"/>
                </a:ext>
              </a:extLst>
            </xdr:cNvPr>
            <xdr:cNvSpPr txBox="1"/>
          </xdr:nvSpPr>
          <xdr:spPr>
            <a:xfrm>
              <a:off x="2510852" y="624590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37476</xdr:colOff>
      <xdr:row>4</xdr:row>
      <xdr:rowOff>12492</xdr:rowOff>
    </xdr:from>
    <xdr:ext cx="766164" cy="1790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1935AD7-EAA6-4A49-BC43-F0475DF0A487}"/>
                </a:ext>
              </a:extLst>
            </xdr:cNvPr>
            <xdr:cNvSpPr txBox="1"/>
          </xdr:nvSpPr>
          <xdr:spPr>
            <a:xfrm>
              <a:off x="2510853" y="828623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1935AD7-EAA6-4A49-BC43-F0475DF0A487}"/>
                </a:ext>
              </a:extLst>
            </xdr:cNvPr>
            <xdr:cNvSpPr txBox="1"/>
          </xdr:nvSpPr>
          <xdr:spPr>
            <a:xfrm>
              <a:off x="2510853" y="828623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22087</xdr:colOff>
      <xdr:row>11</xdr:row>
      <xdr:rowOff>11043</xdr:rowOff>
    </xdr:from>
    <xdr:ext cx="766164" cy="1790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882235D-0766-F942-A13F-7E6FA121CB7F}"/>
                </a:ext>
              </a:extLst>
            </xdr:cNvPr>
            <xdr:cNvSpPr txBox="1"/>
          </xdr:nvSpPr>
          <xdr:spPr>
            <a:xfrm>
              <a:off x="2506870" y="2258391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882235D-0766-F942-A13F-7E6FA121CB7F}"/>
                </a:ext>
              </a:extLst>
            </xdr:cNvPr>
            <xdr:cNvSpPr txBox="1"/>
          </xdr:nvSpPr>
          <xdr:spPr>
            <a:xfrm>
              <a:off x="2506870" y="2258391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27608</xdr:colOff>
      <xdr:row>16</xdr:row>
      <xdr:rowOff>16565</xdr:rowOff>
    </xdr:from>
    <xdr:ext cx="766164" cy="1790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FBF35A7-3E4C-7D47-AB11-06F4F55F856F}"/>
                </a:ext>
              </a:extLst>
            </xdr:cNvPr>
            <xdr:cNvSpPr txBox="1"/>
          </xdr:nvSpPr>
          <xdr:spPr>
            <a:xfrm>
              <a:off x="2512391" y="3285435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FBF35A7-3E4C-7D47-AB11-06F4F55F856F}"/>
                </a:ext>
              </a:extLst>
            </xdr:cNvPr>
            <xdr:cNvSpPr txBox="1"/>
          </xdr:nvSpPr>
          <xdr:spPr>
            <a:xfrm>
              <a:off x="2512391" y="3285435"/>
              <a:ext cx="766164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430696</xdr:colOff>
      <xdr:row>11</xdr:row>
      <xdr:rowOff>16565</xdr:rowOff>
    </xdr:from>
    <xdr:ext cx="231913" cy="1790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368CFA8-DE44-0D4C-9CCF-25F6D9D50EBD}"/>
                </a:ext>
              </a:extLst>
            </xdr:cNvPr>
            <xdr:cNvSpPr txBox="1"/>
          </xdr:nvSpPr>
          <xdr:spPr>
            <a:xfrm>
              <a:off x="4572000" y="2263913"/>
              <a:ext cx="231913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368CFA8-DE44-0D4C-9CCF-25F6D9D50EBD}"/>
                </a:ext>
              </a:extLst>
            </xdr:cNvPr>
            <xdr:cNvSpPr txBox="1"/>
          </xdr:nvSpPr>
          <xdr:spPr>
            <a:xfrm>
              <a:off x="4572000" y="2263913"/>
              <a:ext cx="231913" cy="1790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651566</xdr:colOff>
      <xdr:row>19</xdr:row>
      <xdr:rowOff>33131</xdr:rowOff>
    </xdr:from>
    <xdr:ext cx="364434" cy="3478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381AE9-787C-0746-879F-58E7ACA9EC8E}"/>
                </a:ext>
              </a:extLst>
            </xdr:cNvPr>
            <xdr:cNvSpPr txBox="1"/>
          </xdr:nvSpPr>
          <xdr:spPr>
            <a:xfrm>
              <a:off x="7277653" y="3914914"/>
              <a:ext cx="364434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381AE9-787C-0746-879F-58E7ACA9EC8E}"/>
                </a:ext>
              </a:extLst>
            </xdr:cNvPr>
            <xdr:cNvSpPr txBox="1"/>
          </xdr:nvSpPr>
          <xdr:spPr>
            <a:xfrm>
              <a:off x="7277653" y="3914914"/>
              <a:ext cx="364434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215900</xdr:colOff>
      <xdr:row>36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CDD589-B8CC-ED44-AD39-E31667B2C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190500</xdr:rowOff>
    </xdr:from>
    <xdr:to>
      <xdr:col>0</xdr:col>
      <xdr:colOff>711200</xdr:colOff>
      <xdr:row>2</xdr:row>
      <xdr:rowOff>165100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A899719-2DC9-8E41-9BDF-56D89E3C5F29}"/>
                </a:ext>
              </a:extLst>
            </xdr:cNvPr>
            <xdr:cNvSpPr txBox="1"/>
          </xdr:nvSpPr>
          <xdr:spPr>
            <a:xfrm>
              <a:off x="2133600" y="1612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рост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A899719-2DC9-8E41-9BDF-56D89E3C5F29}"/>
                </a:ext>
              </a:extLst>
            </xdr:cNvPr>
            <xdr:cNvSpPr txBox="1"/>
          </xdr:nvSpPr>
          <xdr:spPr>
            <a:xfrm>
              <a:off x="2133600" y="1612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рост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812800</xdr:colOff>
      <xdr:row>1</xdr:row>
      <xdr:rowOff>50800</xdr:rowOff>
    </xdr:from>
    <xdr:to>
      <xdr:col>2</xdr:col>
      <xdr:colOff>0</xdr:colOff>
      <xdr:row>2</xdr:row>
      <xdr:rowOff>32266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511132-49B1-3345-984E-1B4BD58A098B}"/>
                </a:ext>
              </a:extLst>
            </xdr:cNvPr>
            <xdr:cNvSpPr txBox="1"/>
          </xdr:nvSpPr>
          <xdr:spPr>
            <a:xfrm>
              <a:off x="2921000" y="1473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Υ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вес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511132-49B1-3345-984E-1B4BD58A098B}"/>
                </a:ext>
              </a:extLst>
            </xdr:cNvPr>
            <xdr:cNvSpPr txBox="1"/>
          </xdr:nvSpPr>
          <xdr:spPr>
            <a:xfrm>
              <a:off x="2921000" y="1473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Υ_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вес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12700</xdr:colOff>
      <xdr:row>3</xdr:row>
      <xdr:rowOff>12700</xdr:rowOff>
    </xdr:from>
    <xdr:to>
      <xdr:col>0</xdr:col>
      <xdr:colOff>812800</xdr:colOff>
      <xdr:row>3</xdr:row>
      <xdr:rowOff>184798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45872B-8BC0-BF41-B0EA-9EA334517786}"/>
                </a:ext>
              </a:extLst>
            </xdr:cNvPr>
            <xdr:cNvSpPr txBox="1"/>
          </xdr:nvSpPr>
          <xdr:spPr>
            <a:xfrm>
              <a:off x="2120900" y="18415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F45872B-8BC0-BF41-B0EA-9EA334517786}"/>
                </a:ext>
              </a:extLst>
            </xdr:cNvPr>
            <xdr:cNvSpPr txBox="1"/>
          </xdr:nvSpPr>
          <xdr:spPr>
            <a:xfrm>
              <a:off x="2120900" y="18415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3</xdr:row>
      <xdr:rowOff>172098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D687F11-834F-7B42-BF20-1B23F7EC5B9D}"/>
                </a:ext>
              </a:extLst>
            </xdr:cNvPr>
            <xdr:cNvSpPr txBox="1"/>
          </xdr:nvSpPr>
          <xdr:spPr>
            <a:xfrm>
              <a:off x="2933700" y="1828800"/>
              <a:ext cx="825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D687F11-834F-7B42-BF20-1B23F7EC5B9D}"/>
                </a:ext>
              </a:extLst>
            </xdr:cNvPr>
            <xdr:cNvSpPr txBox="1"/>
          </xdr:nvSpPr>
          <xdr:spPr>
            <a:xfrm>
              <a:off x="2933700" y="1828800"/>
              <a:ext cx="8255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0</xdr:colOff>
      <xdr:row>1</xdr:row>
      <xdr:rowOff>0</xdr:rowOff>
    </xdr:from>
    <xdr:ext cx="800100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424AEF-E641-A341-9F9E-7B68DB3DA7CD}"/>
                </a:ext>
              </a:extLst>
            </xdr:cNvPr>
            <xdr:cNvSpPr txBox="1"/>
          </xdr:nvSpPr>
          <xdr:spPr>
            <a:xfrm>
              <a:off x="3759200" y="14224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C424AEF-E641-A341-9F9E-7B68DB3DA7CD}"/>
                </a:ext>
              </a:extLst>
            </xdr:cNvPr>
            <xdr:cNvSpPr txBox="1"/>
          </xdr:nvSpPr>
          <xdr:spPr>
            <a:xfrm>
              <a:off x="3759200" y="1422400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</xdr:row>
      <xdr:rowOff>0</xdr:rowOff>
    </xdr:from>
    <xdr:ext cx="80010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2741D06-C9BB-4D48-A705-D0DE6C272663}"/>
                </a:ext>
              </a:extLst>
            </xdr:cNvPr>
            <xdr:cNvSpPr txBox="1"/>
          </xdr:nvSpPr>
          <xdr:spPr>
            <a:xfrm>
              <a:off x="1650663" y="404244"/>
              <a:ext cx="8001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2741D06-C9BB-4D48-A705-D0DE6C272663}"/>
                </a:ext>
              </a:extLst>
            </xdr:cNvPr>
            <xdr:cNvSpPr txBox="1"/>
          </xdr:nvSpPr>
          <xdr:spPr>
            <a:xfrm>
              <a:off x="1650663" y="404244"/>
              <a:ext cx="80010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 panose="02040503050406030204" pitchFamily="18" charset="0"/>
                </a:rPr>
                <a:t>𝑖+1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13</xdr:col>
      <xdr:colOff>304800</xdr:colOff>
      <xdr:row>1</xdr:row>
      <xdr:rowOff>127001</xdr:rowOff>
    </xdr:from>
    <xdr:to>
      <xdr:col>13</xdr:col>
      <xdr:colOff>520700</xdr:colOff>
      <xdr:row>3</xdr:row>
      <xdr:rowOff>64798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3345B12-7150-514C-B84B-7E0D9197D84F}"/>
                </a:ext>
              </a:extLst>
            </xdr:cNvPr>
            <xdr:cNvSpPr txBox="1"/>
          </xdr:nvSpPr>
          <xdr:spPr>
            <a:xfrm>
              <a:off x="13144500" y="1549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3345B12-7150-514C-B84B-7E0D9197D84F}"/>
                </a:ext>
              </a:extLst>
            </xdr:cNvPr>
            <xdr:cNvSpPr txBox="1"/>
          </xdr:nvSpPr>
          <xdr:spPr>
            <a:xfrm>
              <a:off x="13144500" y="1549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713906</xdr:colOff>
      <xdr:row>13</xdr:row>
      <xdr:rowOff>202899</xdr:rowOff>
    </xdr:from>
    <xdr:to>
      <xdr:col>1</xdr:col>
      <xdr:colOff>103179</xdr:colOff>
      <xdr:row>14</xdr:row>
      <xdr:rowOff>180354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D7DCFD5-09EE-A549-A347-9943F1672A17}"/>
                </a:ext>
              </a:extLst>
            </xdr:cNvPr>
            <xdr:cNvSpPr txBox="1"/>
          </xdr:nvSpPr>
          <xdr:spPr>
            <a:xfrm>
              <a:off x="713906" y="2840591"/>
              <a:ext cx="215900" cy="180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D7DCFD5-09EE-A549-A347-9943F1672A17}"/>
                </a:ext>
              </a:extLst>
            </xdr:cNvPr>
            <xdr:cNvSpPr txBox="1"/>
          </xdr:nvSpPr>
          <xdr:spPr>
            <a:xfrm>
              <a:off x="713906" y="2840591"/>
              <a:ext cx="215900" cy="180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25400</xdr:colOff>
      <xdr:row>23</xdr:row>
      <xdr:rowOff>190500</xdr:rowOff>
    </xdr:from>
    <xdr:to>
      <xdr:col>0</xdr:col>
      <xdr:colOff>711200</xdr:colOff>
      <xdr:row>24</xdr:row>
      <xdr:rowOff>165100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D65D586-7A8D-534D-BA9A-885E6C02C9CA}"/>
                </a:ext>
              </a:extLst>
            </xdr:cNvPr>
            <xdr:cNvSpPr txBox="1"/>
          </xdr:nvSpPr>
          <xdr:spPr>
            <a:xfrm>
              <a:off x="25400" y="3937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рост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D65D586-7A8D-534D-BA9A-885E6C02C9CA}"/>
                </a:ext>
              </a:extLst>
            </xdr:cNvPr>
            <xdr:cNvSpPr txBox="1"/>
          </xdr:nvSpPr>
          <xdr:spPr>
            <a:xfrm>
              <a:off x="25400" y="3937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рост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812800</xdr:colOff>
      <xdr:row>23</xdr:row>
      <xdr:rowOff>50800</xdr:rowOff>
    </xdr:from>
    <xdr:to>
      <xdr:col>2</xdr:col>
      <xdr:colOff>0</xdr:colOff>
      <xdr:row>24</xdr:row>
      <xdr:rowOff>32266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F3F846-2200-5442-9C07-BBBBF68835FF}"/>
                </a:ext>
              </a:extLst>
            </xdr:cNvPr>
            <xdr:cNvSpPr txBox="1"/>
          </xdr:nvSpPr>
          <xdr:spPr>
            <a:xfrm>
              <a:off x="812800" y="254000"/>
              <a:ext cx="846667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Υ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вес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4F3F846-2200-5442-9C07-BBBBF68835FF}"/>
                </a:ext>
              </a:extLst>
            </xdr:cNvPr>
            <xdr:cNvSpPr txBox="1"/>
          </xdr:nvSpPr>
          <xdr:spPr>
            <a:xfrm>
              <a:off x="812800" y="254000"/>
              <a:ext cx="846667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Υ_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вес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436033</xdr:colOff>
      <xdr:row>25</xdr:row>
      <xdr:rowOff>4233</xdr:rowOff>
    </xdr:from>
    <xdr:to>
      <xdr:col>1</xdr:col>
      <xdr:colOff>406400</xdr:colOff>
      <xdr:row>25</xdr:row>
      <xdr:rowOff>176331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9F1D761-4145-2241-8B5A-EBACA1AB962D}"/>
                </a:ext>
              </a:extLst>
            </xdr:cNvPr>
            <xdr:cNvSpPr txBox="1"/>
          </xdr:nvSpPr>
          <xdr:spPr>
            <a:xfrm>
              <a:off x="436033" y="5151966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9F1D761-4145-2241-8B5A-EBACA1AB962D}"/>
                </a:ext>
              </a:extLst>
            </xdr:cNvPr>
            <xdr:cNvSpPr txBox="1"/>
          </xdr:nvSpPr>
          <xdr:spPr>
            <a:xfrm>
              <a:off x="436033" y="5151966"/>
              <a:ext cx="800100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76200</xdr:colOff>
      <xdr:row>23</xdr:row>
      <xdr:rowOff>101600</xdr:rowOff>
    </xdr:from>
    <xdr:ext cx="668866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4D48C34-1498-0A4A-A753-489F4EDEE4ED}"/>
                </a:ext>
              </a:extLst>
            </xdr:cNvPr>
            <xdr:cNvSpPr txBox="1"/>
          </xdr:nvSpPr>
          <xdr:spPr>
            <a:xfrm>
              <a:off x="1735667" y="4842933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4D48C34-1498-0A4A-A753-489F4EDEE4ED}"/>
                </a:ext>
              </a:extLst>
            </xdr:cNvPr>
            <xdr:cNvSpPr txBox="1"/>
          </xdr:nvSpPr>
          <xdr:spPr>
            <a:xfrm>
              <a:off x="1735667" y="4842933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13</xdr:col>
      <xdr:colOff>304800</xdr:colOff>
      <xdr:row>23</xdr:row>
      <xdr:rowOff>127001</xdr:rowOff>
    </xdr:from>
    <xdr:to>
      <xdr:col>13</xdr:col>
      <xdr:colOff>520700</xdr:colOff>
      <xdr:row>25</xdr:row>
      <xdr:rowOff>64798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B2F1361-9CCD-2D47-9CE4-8B4E2A09B2CC}"/>
                </a:ext>
              </a:extLst>
            </xdr:cNvPr>
            <xdr:cNvSpPr txBox="1"/>
          </xdr:nvSpPr>
          <xdr:spPr>
            <a:xfrm>
              <a:off x="11091333" y="3302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B2F1361-9CCD-2D47-9CE4-8B4E2A09B2CC}"/>
                </a:ext>
              </a:extLst>
            </xdr:cNvPr>
            <xdr:cNvSpPr txBox="1"/>
          </xdr:nvSpPr>
          <xdr:spPr>
            <a:xfrm>
              <a:off x="11091333" y="3302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713906</xdr:colOff>
      <xdr:row>35</xdr:row>
      <xdr:rowOff>202899</xdr:rowOff>
    </xdr:from>
    <xdr:to>
      <xdr:col>1</xdr:col>
      <xdr:colOff>103179</xdr:colOff>
      <xdr:row>36</xdr:row>
      <xdr:rowOff>180354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45325E8-C06F-2044-8937-9EDB3827A9C3}"/>
                </a:ext>
              </a:extLst>
            </xdr:cNvPr>
            <xdr:cNvSpPr txBox="1"/>
          </xdr:nvSpPr>
          <xdr:spPr>
            <a:xfrm>
              <a:off x="713906" y="2844499"/>
              <a:ext cx="219006" cy="180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45325E8-C06F-2044-8937-9EDB3827A9C3}"/>
                </a:ext>
              </a:extLst>
            </xdr:cNvPr>
            <xdr:cNvSpPr txBox="1"/>
          </xdr:nvSpPr>
          <xdr:spPr>
            <a:xfrm>
              <a:off x="713906" y="2844499"/>
              <a:ext cx="219006" cy="180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oneCellAnchor>
    <xdr:from>
      <xdr:col>14</xdr:col>
      <xdr:colOff>203200</xdr:colOff>
      <xdr:row>23</xdr:row>
      <xdr:rowOff>101600</xdr:rowOff>
    </xdr:from>
    <xdr:ext cx="423334" cy="24553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AF7A5B8-763D-684D-BD9E-BB0A0DB448E4}"/>
                </a:ext>
              </a:extLst>
            </xdr:cNvPr>
            <xdr:cNvSpPr txBox="1"/>
          </xdr:nvSpPr>
          <xdr:spPr>
            <a:xfrm>
              <a:off x="11904133" y="4826000"/>
              <a:ext cx="423334" cy="245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AF7A5B8-763D-684D-BD9E-BB0A0DB448E4}"/>
                </a:ext>
              </a:extLst>
            </xdr:cNvPr>
            <xdr:cNvSpPr txBox="1"/>
          </xdr:nvSpPr>
          <xdr:spPr>
            <a:xfrm>
              <a:off x="11904133" y="4826000"/>
              <a:ext cx="423334" cy="2455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 </a:t>
              </a:r>
              <a:r>
                <a:rPr lang="ru-RU" sz="1100" b="0" i="0">
                  <a:latin typeface="Cambria Math" panose="02040503050406030204" pitchFamily="18" charset="0"/>
                </a:rPr>
                <a:t>) ̅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</xdr:row>
      <xdr:rowOff>190500</xdr:rowOff>
    </xdr:from>
    <xdr:to>
      <xdr:col>0</xdr:col>
      <xdr:colOff>711200</xdr:colOff>
      <xdr:row>2</xdr:row>
      <xdr:rowOff>165100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4CE691D-023C-9644-A8CB-B90ADD56B54F}"/>
                </a:ext>
              </a:extLst>
            </xdr:cNvPr>
            <xdr:cNvSpPr txBox="1"/>
          </xdr:nvSpPr>
          <xdr:spPr>
            <a:xfrm>
              <a:off x="25400" y="4914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рост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4CE691D-023C-9644-A8CB-B90ADD56B54F}"/>
                </a:ext>
              </a:extLst>
            </xdr:cNvPr>
            <xdr:cNvSpPr txBox="1"/>
          </xdr:nvSpPr>
          <xdr:spPr>
            <a:xfrm>
              <a:off x="25400" y="4914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рост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812800</xdr:colOff>
      <xdr:row>1</xdr:row>
      <xdr:rowOff>50800</xdr:rowOff>
    </xdr:from>
    <xdr:to>
      <xdr:col>2</xdr:col>
      <xdr:colOff>0</xdr:colOff>
      <xdr:row>2</xdr:row>
      <xdr:rowOff>32266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CF0519E-71B6-3C46-86A1-67E72B3A33B5}"/>
                </a:ext>
              </a:extLst>
            </xdr:cNvPr>
            <xdr:cNvSpPr txBox="1"/>
          </xdr:nvSpPr>
          <xdr:spPr>
            <a:xfrm>
              <a:off x="812800" y="4775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Υ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вес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CF0519E-71B6-3C46-86A1-67E72B3A33B5}"/>
                </a:ext>
              </a:extLst>
            </xdr:cNvPr>
            <xdr:cNvSpPr txBox="1"/>
          </xdr:nvSpPr>
          <xdr:spPr>
            <a:xfrm>
              <a:off x="812800" y="4775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Υ_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вес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436033</xdr:colOff>
      <xdr:row>3</xdr:row>
      <xdr:rowOff>4233</xdr:rowOff>
    </xdr:from>
    <xdr:to>
      <xdr:col>1</xdr:col>
      <xdr:colOff>406400</xdr:colOff>
      <xdr:row>3</xdr:row>
      <xdr:rowOff>176331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31551A-FEE6-3B40-A255-A6F7FE8BE4C3}"/>
                </a:ext>
              </a:extLst>
            </xdr:cNvPr>
            <xdr:cNvSpPr txBox="1"/>
          </xdr:nvSpPr>
          <xdr:spPr>
            <a:xfrm>
              <a:off x="436033" y="5135033"/>
              <a:ext cx="7958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31551A-FEE6-3B40-A255-A6F7FE8BE4C3}"/>
                </a:ext>
              </a:extLst>
            </xdr:cNvPr>
            <xdr:cNvSpPr txBox="1"/>
          </xdr:nvSpPr>
          <xdr:spPr>
            <a:xfrm>
              <a:off x="436033" y="5135033"/>
              <a:ext cx="7958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76200</xdr:colOff>
      <xdr:row>1</xdr:row>
      <xdr:rowOff>101600</xdr:rowOff>
    </xdr:from>
    <xdr:ext cx="668866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44B7F45-6258-AE46-ACD1-C89882C86906}"/>
                </a:ext>
              </a:extLst>
            </xdr:cNvPr>
            <xdr:cNvSpPr txBox="1"/>
          </xdr:nvSpPr>
          <xdr:spPr>
            <a:xfrm>
              <a:off x="1727200" y="4826000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44B7F45-6258-AE46-ACD1-C89882C86906}"/>
                </a:ext>
              </a:extLst>
            </xdr:cNvPr>
            <xdr:cNvSpPr txBox="1"/>
          </xdr:nvSpPr>
          <xdr:spPr>
            <a:xfrm>
              <a:off x="1727200" y="4826000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13</xdr:col>
      <xdr:colOff>304800</xdr:colOff>
      <xdr:row>1</xdr:row>
      <xdr:rowOff>127001</xdr:rowOff>
    </xdr:from>
    <xdr:to>
      <xdr:col>13</xdr:col>
      <xdr:colOff>520700</xdr:colOff>
      <xdr:row>3</xdr:row>
      <xdr:rowOff>64798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D141B36-9BF3-6F43-BDC3-FE62DA336EBE}"/>
                </a:ext>
              </a:extLst>
            </xdr:cNvPr>
            <xdr:cNvSpPr txBox="1"/>
          </xdr:nvSpPr>
          <xdr:spPr>
            <a:xfrm>
              <a:off x="11125200" y="4851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D141B36-9BF3-6F43-BDC3-FE62DA336EBE}"/>
                </a:ext>
              </a:extLst>
            </xdr:cNvPr>
            <xdr:cNvSpPr txBox="1"/>
          </xdr:nvSpPr>
          <xdr:spPr>
            <a:xfrm>
              <a:off x="11125200" y="4851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713906</xdr:colOff>
      <xdr:row>13</xdr:row>
      <xdr:rowOff>202899</xdr:rowOff>
    </xdr:from>
    <xdr:to>
      <xdr:col>1</xdr:col>
      <xdr:colOff>103179</xdr:colOff>
      <xdr:row>14</xdr:row>
      <xdr:rowOff>180354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50CE2E0-F874-CB47-8EC6-9894ACC22E85}"/>
                </a:ext>
              </a:extLst>
            </xdr:cNvPr>
            <xdr:cNvSpPr txBox="1"/>
          </xdr:nvSpPr>
          <xdr:spPr>
            <a:xfrm>
              <a:off x="713906" y="7365699"/>
              <a:ext cx="214773" cy="180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50CE2E0-F874-CB47-8EC6-9894ACC22E85}"/>
                </a:ext>
              </a:extLst>
            </xdr:cNvPr>
            <xdr:cNvSpPr txBox="1"/>
          </xdr:nvSpPr>
          <xdr:spPr>
            <a:xfrm>
              <a:off x="713906" y="7365699"/>
              <a:ext cx="214773" cy="180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14</xdr:col>
      <xdr:colOff>90532</xdr:colOff>
      <xdr:row>1</xdr:row>
      <xdr:rowOff>132686</xdr:rowOff>
    </xdr:from>
    <xdr:to>
      <xdr:col>14</xdr:col>
      <xdr:colOff>772920</xdr:colOff>
      <xdr:row>2</xdr:row>
      <xdr:rowOff>151641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2B35964-00EB-694C-9B86-1BCE6999C6D7}"/>
                </a:ext>
              </a:extLst>
            </xdr:cNvPr>
            <xdr:cNvSpPr txBox="1"/>
          </xdr:nvSpPr>
          <xdr:spPr>
            <a:xfrm>
              <a:off x="11623505" y="333728"/>
              <a:ext cx="682388" cy="2199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92B35964-00EB-694C-9B86-1BCE6999C6D7}"/>
                </a:ext>
              </a:extLst>
            </xdr:cNvPr>
            <xdr:cNvSpPr txBox="1"/>
          </xdr:nvSpPr>
          <xdr:spPr>
            <a:xfrm>
              <a:off x="11623505" y="333728"/>
              <a:ext cx="682388" cy="2199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 ̅^((𝑗))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14</xdr:col>
      <xdr:colOff>806450</xdr:colOff>
      <xdr:row>1</xdr:row>
      <xdr:rowOff>127000</xdr:rowOff>
    </xdr:from>
    <xdr:to>
      <xdr:col>15</xdr:col>
      <xdr:colOff>812800</xdr:colOff>
      <xdr:row>1</xdr:row>
      <xdr:rowOff>309807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CC615CD-8410-3140-93C5-AD27C5F7B7D3}"/>
            </a:ext>
          </a:extLst>
        </xdr:cNvPr>
        <xdr:cNvSpPr txBox="1"/>
      </xdr:nvSpPr>
      <xdr:spPr>
        <a:xfrm>
          <a:off x="16211550" y="1676400"/>
          <a:ext cx="831850" cy="182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100"/>
        </a:p>
      </xdr:txBody>
    </xdr:sp>
    <xdr:clientData/>
  </xdr:twoCellAnchor>
  <xdr:twoCellAnchor>
    <xdr:from>
      <xdr:col>15</xdr:col>
      <xdr:colOff>216268</xdr:colOff>
      <xdr:row>1</xdr:row>
      <xdr:rowOff>95435</xdr:rowOff>
    </xdr:from>
    <xdr:to>
      <xdr:col>15</xdr:col>
      <xdr:colOff>646012</xdr:colOff>
      <xdr:row>2</xdr:row>
      <xdr:rowOff>168844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F5EA4B7-3CA4-6F47-993E-22EB62DED21C}"/>
                </a:ext>
              </a:extLst>
            </xdr:cNvPr>
            <xdr:cNvSpPr txBox="1"/>
          </xdr:nvSpPr>
          <xdr:spPr>
            <a:xfrm>
              <a:off x="12549216" y="300984"/>
              <a:ext cx="429744" cy="278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acc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F5EA4B7-3CA4-6F47-993E-22EB62DED21C}"/>
                </a:ext>
              </a:extLst>
            </xdr:cNvPr>
            <xdr:cNvSpPr txBox="1"/>
          </xdr:nvSpPr>
          <xdr:spPr>
            <a:xfrm>
              <a:off x="12549216" y="300984"/>
              <a:ext cx="429744" cy="278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(𝑦^2 ) ̅^((𝑗))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15</xdr:col>
      <xdr:colOff>806450</xdr:colOff>
      <xdr:row>1</xdr:row>
      <xdr:rowOff>127000</xdr:rowOff>
    </xdr:from>
    <xdr:to>
      <xdr:col>16</xdr:col>
      <xdr:colOff>812800</xdr:colOff>
      <xdr:row>1</xdr:row>
      <xdr:rowOff>309807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D3EB45-E83E-C045-81D5-082634B03D3D}"/>
            </a:ext>
          </a:extLst>
        </xdr:cNvPr>
        <xdr:cNvSpPr txBox="1"/>
      </xdr:nvSpPr>
      <xdr:spPr>
        <a:xfrm>
          <a:off x="17037050" y="1676400"/>
          <a:ext cx="831850" cy="182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100"/>
        </a:p>
      </xdr:txBody>
    </xdr:sp>
    <xdr:clientData/>
  </xdr:twoCellAnchor>
  <xdr:twoCellAnchor>
    <xdr:from>
      <xdr:col>16</xdr:col>
      <xdr:colOff>54765</xdr:colOff>
      <xdr:row>1</xdr:row>
      <xdr:rowOff>95435</xdr:rowOff>
    </xdr:from>
    <xdr:to>
      <xdr:col>16</xdr:col>
      <xdr:colOff>1424161</xdr:colOff>
      <xdr:row>2</xdr:row>
      <xdr:rowOff>161503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1934205-7AAB-E549-A586-3AA2D341DD16}"/>
                </a:ext>
              </a:extLst>
            </xdr:cNvPr>
            <xdr:cNvSpPr txBox="1"/>
          </xdr:nvSpPr>
          <xdr:spPr>
            <a:xfrm>
              <a:off x="13209910" y="300984"/>
              <a:ext cx="1369396" cy="271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acc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sup>
                        </m:s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1934205-7AAB-E549-A586-3AA2D341DD16}"/>
                </a:ext>
              </a:extLst>
            </xdr:cNvPr>
            <xdr:cNvSpPr txBox="1"/>
          </xdr:nvSpPr>
          <xdr:spPr>
            <a:xfrm>
              <a:off x="13209910" y="300984"/>
              <a:ext cx="1369396" cy="2716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(𝑦^2 ) ̅^((𝑗))−〖(𝑦 ̅^((𝑗)))〗^2=𝐷^((𝑗))  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16</xdr:col>
      <xdr:colOff>806450</xdr:colOff>
      <xdr:row>1</xdr:row>
      <xdr:rowOff>127000</xdr:rowOff>
    </xdr:from>
    <xdr:to>
      <xdr:col>17</xdr:col>
      <xdr:colOff>812800</xdr:colOff>
      <xdr:row>1</xdr:row>
      <xdr:rowOff>309807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1C2FDD0-BB43-0F40-8DA8-B3D1D325E9E0}"/>
            </a:ext>
          </a:extLst>
        </xdr:cNvPr>
        <xdr:cNvSpPr txBox="1"/>
      </xdr:nvSpPr>
      <xdr:spPr>
        <a:xfrm>
          <a:off x="17862550" y="1676400"/>
          <a:ext cx="1543050" cy="182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100"/>
        </a:p>
      </xdr:txBody>
    </xdr:sp>
    <xdr:clientData/>
  </xdr:twoCellAnchor>
  <xdr:twoCellAnchor>
    <xdr:from>
      <xdr:col>17</xdr:col>
      <xdr:colOff>25400</xdr:colOff>
      <xdr:row>1</xdr:row>
      <xdr:rowOff>114299</xdr:rowOff>
    </xdr:from>
    <xdr:to>
      <xdr:col>17</xdr:col>
      <xdr:colOff>807515</xdr:colOff>
      <xdr:row>2</xdr:row>
      <xdr:rowOff>124797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290DA302-AFBB-1B43-BE1C-E111201F8928}"/>
                </a:ext>
              </a:extLst>
            </xdr:cNvPr>
            <xdr:cNvSpPr txBox="1"/>
          </xdr:nvSpPr>
          <xdr:spPr>
            <a:xfrm>
              <a:off x="14626729" y="319848"/>
              <a:ext cx="782115" cy="2160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p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e>
                            </m:d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290DA302-AFBB-1B43-BE1C-E111201F8928}"/>
                </a:ext>
              </a:extLst>
            </xdr:cNvPr>
            <xdr:cNvSpPr txBox="1"/>
          </xdr:nvSpPr>
          <xdr:spPr>
            <a:xfrm>
              <a:off x="14626729" y="319848"/>
              <a:ext cx="782115" cy="2160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〖(𝑦 ̅^((𝑗) )  −𝑦 ̅)〗^2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194733</xdr:colOff>
      <xdr:row>17</xdr:row>
      <xdr:rowOff>29765</xdr:rowOff>
    </xdr:from>
    <xdr:to>
      <xdr:col>0</xdr:col>
      <xdr:colOff>1278467</xdr:colOff>
      <xdr:row>17</xdr:row>
      <xdr:rowOff>362148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0F5D059-450C-5849-BD27-52BE9B37638A}"/>
                </a:ext>
              </a:extLst>
            </xdr:cNvPr>
            <xdr:cNvSpPr txBox="1"/>
          </xdr:nvSpPr>
          <xdr:spPr>
            <a:xfrm>
              <a:off x="194733" y="3501098"/>
              <a:ext cx="1083734" cy="3323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05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nary>
                    <m:sSup>
                      <m:sSup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p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)</m:t>
                        </m:r>
                      </m:sup>
                    </m:sSup>
                  </m:oMath>
                </m:oMathPara>
              </a14:m>
              <a:endParaRPr lang="ru-RU" sz="105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C0F5D059-450C-5849-BD27-52BE9B37638A}"/>
                </a:ext>
              </a:extLst>
            </xdr:cNvPr>
            <xdr:cNvSpPr txBox="1"/>
          </xdr:nvSpPr>
          <xdr:spPr>
            <a:xfrm>
              <a:off x="194733" y="3501098"/>
              <a:ext cx="1083734" cy="3323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𝐷_</a:t>
              </a:r>
              <a:r>
                <a:rPr lang="ru-RU" sz="1050" b="0" i="0">
                  <a:latin typeface="Cambria Math" panose="02040503050406030204" pitchFamily="18" charset="0"/>
                </a:rPr>
                <a:t>в</a:t>
              </a:r>
              <a:r>
                <a:rPr lang="en-US" sz="1050" b="0" i="0">
                  <a:latin typeface="Cambria Math" panose="02040503050406030204" pitchFamily="18" charset="0"/>
                </a:rPr>
                <a:t>=1/𝑛 ∑▒𝑛_𝑥  𝐷^((𝑗))</a:t>
              </a:r>
              <a:endParaRPr lang="ru-RU" sz="1050"/>
            </a:p>
          </xdr:txBody>
        </xdr:sp>
      </mc:Fallback>
    </mc:AlternateContent>
    <xdr:clientData/>
  </xdr:twoCellAnchor>
  <xdr:twoCellAnchor>
    <xdr:from>
      <xdr:col>1</xdr:col>
      <xdr:colOff>50800</xdr:colOff>
      <xdr:row>17</xdr:row>
      <xdr:rowOff>33867</xdr:rowOff>
    </xdr:from>
    <xdr:to>
      <xdr:col>1</xdr:col>
      <xdr:colOff>1498600</xdr:colOff>
      <xdr:row>18</xdr:row>
      <xdr:rowOff>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72701B2-1F72-414C-BC2C-72DE381904FD}"/>
                </a:ext>
              </a:extLst>
            </xdr:cNvPr>
            <xdr:cNvSpPr txBox="1"/>
          </xdr:nvSpPr>
          <xdr:spPr>
            <a:xfrm>
              <a:off x="2514600" y="3505200"/>
              <a:ext cx="1447800" cy="3471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050" b="0" i="1">
                            <a:latin typeface="Cambria Math" panose="02040503050406030204" pitchFamily="18" charset="0"/>
                          </a:rPr>
                          <m:t>м</m:t>
                        </m:r>
                      </m:sub>
                    </m:sSub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nary>
                    <m:sSup>
                      <m:sSup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(</m:t>
                        </m:r>
                        <m:sSup>
                          <m:sSup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  <m:sup>
                            <m:d>
                              <m:dPr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e>
                            </m:d>
                          </m:sup>
                        </m:sSup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 −</m:t>
                        </m:r>
                        <m:acc>
                          <m:accPr>
                            <m:chr m:val="̅"/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05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72701B2-1F72-414C-BC2C-72DE381904FD}"/>
                </a:ext>
              </a:extLst>
            </xdr:cNvPr>
            <xdr:cNvSpPr txBox="1"/>
          </xdr:nvSpPr>
          <xdr:spPr>
            <a:xfrm>
              <a:off x="2514600" y="3505200"/>
              <a:ext cx="1447800" cy="3471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𝐷_</a:t>
              </a:r>
              <a:r>
                <a:rPr lang="ru-RU" sz="1050" b="0" i="0">
                  <a:latin typeface="Cambria Math" panose="02040503050406030204" pitchFamily="18" charset="0"/>
                </a:rPr>
                <a:t>м</a:t>
              </a:r>
              <a:r>
                <a:rPr lang="en-US" sz="1050" b="0" i="0">
                  <a:latin typeface="Cambria Math" panose="02040503050406030204" pitchFamily="18" charset="0"/>
                </a:rPr>
                <a:t>=1/𝑛 ∑▒𝑛_𝑥  〖(𝑦 ̅^((𝑗) )  −𝑦 ̅)〗^2</a:t>
              </a:r>
              <a:endParaRPr lang="ru-RU" sz="1050"/>
            </a:p>
          </xdr:txBody>
        </xdr:sp>
      </mc:Fallback>
    </mc:AlternateContent>
    <xdr:clientData/>
  </xdr:twoCellAnchor>
  <xdr:oneCellAnchor>
    <xdr:from>
      <xdr:col>2</xdr:col>
      <xdr:colOff>575733</xdr:colOff>
      <xdr:row>17</xdr:row>
      <xdr:rowOff>118533</xdr:rowOff>
    </xdr:from>
    <xdr:ext cx="447623" cy="1720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3CA9B8D5-E690-D04B-B250-C6E5048C8990}"/>
                </a:ext>
              </a:extLst>
            </xdr:cNvPr>
            <xdr:cNvSpPr txBox="1"/>
          </xdr:nvSpPr>
          <xdr:spPr>
            <a:xfrm>
              <a:off x="3496733" y="3589866"/>
              <a:ext cx="44762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в</m:t>
                      </m:r>
                    </m:sub>
                  </m:sSub>
                </m:oMath>
              </a14:m>
              <a:r>
                <a:rPr lang="en-US" sz="1100"/>
                <a:t> +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м</m:t>
                      </m:r>
                    </m:sub>
                  </m:sSub>
                </m:oMath>
              </a14:m>
              <a:endParaRPr lang="ru-RU" sz="11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3CA9B8D5-E690-D04B-B250-C6E5048C8990}"/>
                </a:ext>
              </a:extLst>
            </xdr:cNvPr>
            <xdr:cNvSpPr txBox="1"/>
          </xdr:nvSpPr>
          <xdr:spPr>
            <a:xfrm>
              <a:off x="3496733" y="3589866"/>
              <a:ext cx="447623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в</a:t>
              </a:r>
              <a:r>
                <a:rPr lang="en-US" sz="1100"/>
                <a:t> + </a:t>
              </a:r>
              <a:r>
                <a:rPr lang="en-US" sz="1100" b="0" i="0">
                  <a:latin typeface="Cambria Math" panose="02040503050406030204" pitchFamily="18" charset="0"/>
                </a:rPr>
                <a:t>𝐷_</a:t>
              </a:r>
              <a:r>
                <a:rPr lang="ru-RU" sz="1100" b="0" i="0">
                  <a:latin typeface="Cambria Math" panose="02040503050406030204" pitchFamily="18" charset="0"/>
                </a:rPr>
                <a:t>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201008</xdr:colOff>
      <xdr:row>17</xdr:row>
      <xdr:rowOff>100503</xdr:rowOff>
    </xdr:from>
    <xdr:ext cx="40658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40C4E3C-4E7E-EE4B-8137-77286D75BD2A}"/>
                </a:ext>
              </a:extLst>
            </xdr:cNvPr>
            <xdr:cNvSpPr txBox="1"/>
          </xdr:nvSpPr>
          <xdr:spPr>
            <a:xfrm>
              <a:off x="4650576" y="3531330"/>
              <a:ext cx="40658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выб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40C4E3C-4E7E-EE4B-8137-77286D75BD2A}"/>
                </a:ext>
              </a:extLst>
            </xdr:cNvPr>
            <xdr:cNvSpPr txBox="1"/>
          </xdr:nvSpPr>
          <xdr:spPr>
            <a:xfrm>
              <a:off x="4650576" y="3531330"/>
              <a:ext cx="40658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ru-RU" sz="1100" b="0" i="0">
                  <a:latin typeface="Cambria Math" panose="02040503050406030204" pitchFamily="18" charset="0"/>
                </a:rPr>
                <a:t>_выб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267691</xdr:colOff>
      <xdr:row>1</xdr:row>
      <xdr:rowOff>29671</xdr:rowOff>
    </xdr:from>
    <xdr:ext cx="304800" cy="16183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6EC1A7-328A-0048-967D-C153FA25A941}"/>
                </a:ext>
              </a:extLst>
            </xdr:cNvPr>
            <xdr:cNvSpPr txBox="1"/>
          </xdr:nvSpPr>
          <xdr:spPr>
            <a:xfrm>
              <a:off x="267691" y="231447"/>
              <a:ext cx="304800" cy="161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6EC1A7-328A-0048-967D-C153FA25A941}"/>
                </a:ext>
              </a:extLst>
            </xdr:cNvPr>
            <xdr:cNvSpPr txBox="1"/>
          </xdr:nvSpPr>
          <xdr:spPr>
            <a:xfrm>
              <a:off x="267691" y="231447"/>
              <a:ext cx="304800" cy="161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</a:rPr>
                <a:t>𝑘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</xdr:col>
      <xdr:colOff>33956</xdr:colOff>
      <xdr:row>0</xdr:row>
      <xdr:rowOff>0</xdr:rowOff>
    </xdr:from>
    <xdr:ext cx="910054" cy="3531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E462997-209A-AA48-836D-4500C846676E}"/>
                </a:ext>
              </a:extLst>
            </xdr:cNvPr>
            <xdr:cNvSpPr txBox="1"/>
          </xdr:nvSpPr>
          <xdr:spPr>
            <a:xfrm>
              <a:off x="2519624" y="0"/>
              <a:ext cx="910054" cy="3531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м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ru-RU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В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E462997-209A-AA48-836D-4500C846676E}"/>
                </a:ext>
              </a:extLst>
            </xdr:cNvPr>
            <xdr:cNvSpPr txBox="1"/>
          </xdr:nvSpPr>
          <xdr:spPr>
            <a:xfrm>
              <a:off x="2519624" y="0"/>
              <a:ext cx="910054" cy="3531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𝐾=(𝑛−𝑘)/(𝑘−1)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∙𝐷_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/𝐷_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В 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149412</xdr:colOff>
      <xdr:row>0</xdr:row>
      <xdr:rowOff>74706</xdr:rowOff>
    </xdr:from>
    <xdr:ext cx="539750" cy="1846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C551587-33A5-BE4B-B0BE-1ECE2A09F5CC}"/>
                </a:ext>
              </a:extLst>
            </xdr:cNvPr>
            <xdr:cNvSpPr txBox="1"/>
          </xdr:nvSpPr>
          <xdr:spPr>
            <a:xfrm>
              <a:off x="3599465" y="74706"/>
              <a:ext cx="53975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C551587-33A5-BE4B-B0BE-1ECE2A09F5CC}"/>
                </a:ext>
              </a:extLst>
            </xdr:cNvPr>
            <xdr:cNvSpPr txBox="1"/>
          </xdr:nvSpPr>
          <xdr:spPr>
            <a:xfrm>
              <a:off x="3599465" y="74706"/>
              <a:ext cx="53975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251832</xdr:colOff>
      <xdr:row>6</xdr:row>
      <xdr:rowOff>115528</xdr:rowOff>
    </xdr:from>
    <xdr:ext cx="359946" cy="1844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F692A52-977E-AA48-A984-0A6AA762956C}"/>
                </a:ext>
              </a:extLst>
            </xdr:cNvPr>
            <xdr:cNvSpPr txBox="1"/>
          </xdr:nvSpPr>
          <xdr:spPr>
            <a:xfrm>
              <a:off x="251832" y="1478661"/>
              <a:ext cx="359946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𝐾</m:t>
                  </m:r>
                </m:oMath>
              </a14:m>
              <a:r>
                <a:rPr lang="en-US" sz="1100"/>
                <a:t>&gt;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кр</m:t>
                      </m:r>
                    </m:sub>
                  </m:sSub>
                </m:oMath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F692A52-977E-AA48-A984-0A6AA762956C}"/>
                </a:ext>
              </a:extLst>
            </xdr:cNvPr>
            <xdr:cNvSpPr txBox="1"/>
          </xdr:nvSpPr>
          <xdr:spPr>
            <a:xfrm>
              <a:off x="251832" y="1478661"/>
              <a:ext cx="359946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𝐾</a:t>
              </a:r>
              <a:r>
                <a:rPr lang="en-US" sz="1100"/>
                <a:t>&gt;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33073</xdr:colOff>
      <xdr:row>1</xdr:row>
      <xdr:rowOff>11377</xdr:rowOff>
    </xdr:from>
    <xdr:ext cx="304271" cy="1738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70D986-633F-6D40-8B2F-81F35E8CA238}"/>
                </a:ext>
              </a:extLst>
            </xdr:cNvPr>
            <xdr:cNvSpPr txBox="1"/>
          </xdr:nvSpPr>
          <xdr:spPr>
            <a:xfrm>
              <a:off x="33073" y="547158"/>
              <a:ext cx="304271" cy="17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870D986-633F-6D40-8B2F-81F35E8CA238}"/>
                </a:ext>
              </a:extLst>
            </xdr:cNvPr>
            <xdr:cNvSpPr txBox="1"/>
          </xdr:nvSpPr>
          <xdr:spPr>
            <a:xfrm>
              <a:off x="33073" y="547158"/>
              <a:ext cx="304271" cy="17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𝜎_𝑥 ) ̂=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13229</xdr:colOff>
      <xdr:row>1</xdr:row>
      <xdr:rowOff>19844</xdr:rowOff>
    </xdr:from>
    <xdr:ext cx="304271" cy="1738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D29DBC-796E-644C-BE7F-8185B2BF12E5}"/>
                </a:ext>
              </a:extLst>
            </xdr:cNvPr>
            <xdr:cNvSpPr txBox="1"/>
          </xdr:nvSpPr>
          <xdr:spPr>
            <a:xfrm>
              <a:off x="1230312" y="555625"/>
              <a:ext cx="304271" cy="17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2D29DBC-796E-644C-BE7F-8185B2BF12E5}"/>
                </a:ext>
              </a:extLst>
            </xdr:cNvPr>
            <xdr:cNvSpPr txBox="1"/>
          </xdr:nvSpPr>
          <xdr:spPr>
            <a:xfrm>
              <a:off x="1230312" y="555625"/>
              <a:ext cx="304271" cy="17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𝜎_𝑥 ) ̂=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25400</xdr:colOff>
      <xdr:row>5</xdr:row>
      <xdr:rowOff>190500</xdr:rowOff>
    </xdr:from>
    <xdr:to>
      <xdr:col>0</xdr:col>
      <xdr:colOff>711200</xdr:colOff>
      <xdr:row>6</xdr:row>
      <xdr:rowOff>165100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8B3EE83-3D43-8C46-B259-8D12CF4102DC}"/>
                </a:ext>
              </a:extLst>
            </xdr:cNvPr>
            <xdr:cNvSpPr txBox="1"/>
          </xdr:nvSpPr>
          <xdr:spPr>
            <a:xfrm>
              <a:off x="25400" y="4914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Χ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рост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8B3EE83-3D43-8C46-B259-8D12CF4102DC}"/>
                </a:ext>
              </a:extLst>
            </xdr:cNvPr>
            <xdr:cNvSpPr txBox="1"/>
          </xdr:nvSpPr>
          <xdr:spPr>
            <a:xfrm>
              <a:off x="25400" y="4914900"/>
              <a:ext cx="6858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Χ_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рост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812800</xdr:colOff>
      <xdr:row>5</xdr:row>
      <xdr:rowOff>50800</xdr:rowOff>
    </xdr:from>
    <xdr:to>
      <xdr:col>2</xdr:col>
      <xdr:colOff>0</xdr:colOff>
      <xdr:row>6</xdr:row>
      <xdr:rowOff>32266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894E15-679F-704C-802B-514825AA8A04}"/>
                </a:ext>
              </a:extLst>
            </xdr:cNvPr>
            <xdr:cNvSpPr txBox="1"/>
          </xdr:nvSpPr>
          <xdr:spPr>
            <a:xfrm>
              <a:off x="812800" y="4775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Υ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вес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894E15-679F-704C-802B-514825AA8A04}"/>
                </a:ext>
              </a:extLst>
            </xdr:cNvPr>
            <xdr:cNvSpPr txBox="1"/>
          </xdr:nvSpPr>
          <xdr:spPr>
            <a:xfrm>
              <a:off x="812800" y="4775200"/>
              <a:ext cx="838200" cy="1846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Υ_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вес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436033</xdr:colOff>
      <xdr:row>7</xdr:row>
      <xdr:rowOff>4233</xdr:rowOff>
    </xdr:from>
    <xdr:to>
      <xdr:col>1</xdr:col>
      <xdr:colOff>406400</xdr:colOff>
      <xdr:row>7</xdr:row>
      <xdr:rowOff>176331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A634A1-F225-1541-94B5-585AB37BB4BF}"/>
                </a:ext>
              </a:extLst>
            </xdr:cNvPr>
            <xdr:cNvSpPr txBox="1"/>
          </xdr:nvSpPr>
          <xdr:spPr>
            <a:xfrm>
              <a:off x="436033" y="5135033"/>
              <a:ext cx="7958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A634A1-F225-1541-94B5-585AB37BB4BF}"/>
                </a:ext>
              </a:extLst>
            </xdr:cNvPr>
            <xdr:cNvSpPr txBox="1"/>
          </xdr:nvSpPr>
          <xdr:spPr>
            <a:xfrm>
              <a:off x="436033" y="5135033"/>
              <a:ext cx="795867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2</xdr:col>
      <xdr:colOff>76200</xdr:colOff>
      <xdr:row>5</xdr:row>
      <xdr:rowOff>101600</xdr:rowOff>
    </xdr:from>
    <xdr:ext cx="668866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FBACEA9-58B5-2E41-8FBB-89368C16C303}"/>
                </a:ext>
              </a:extLst>
            </xdr:cNvPr>
            <xdr:cNvSpPr txBox="1"/>
          </xdr:nvSpPr>
          <xdr:spPr>
            <a:xfrm>
              <a:off x="1727200" y="4826000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FBACEA9-58B5-2E41-8FBB-89368C16C303}"/>
                </a:ext>
              </a:extLst>
            </xdr:cNvPr>
            <xdr:cNvSpPr txBox="1"/>
          </xdr:nvSpPr>
          <xdr:spPr>
            <a:xfrm>
              <a:off x="1727200" y="4826000"/>
              <a:ext cx="66886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13</xdr:col>
      <xdr:colOff>304800</xdr:colOff>
      <xdr:row>5</xdr:row>
      <xdr:rowOff>127001</xdr:rowOff>
    </xdr:from>
    <xdr:to>
      <xdr:col>13</xdr:col>
      <xdr:colOff>520700</xdr:colOff>
      <xdr:row>7</xdr:row>
      <xdr:rowOff>64798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DC1C59E-5209-CB40-BE99-CBF4FF5451B0}"/>
                </a:ext>
              </a:extLst>
            </xdr:cNvPr>
            <xdr:cNvSpPr txBox="1"/>
          </xdr:nvSpPr>
          <xdr:spPr>
            <a:xfrm>
              <a:off x="11125200" y="4851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DC1C59E-5209-CB40-BE99-CBF4FF5451B0}"/>
                </a:ext>
              </a:extLst>
            </xdr:cNvPr>
            <xdr:cNvSpPr txBox="1"/>
          </xdr:nvSpPr>
          <xdr:spPr>
            <a:xfrm>
              <a:off x="11125200" y="4851401"/>
              <a:ext cx="215900" cy="3441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887775</xdr:colOff>
      <xdr:row>18</xdr:row>
      <xdr:rowOff>6352</xdr:rowOff>
    </xdr:from>
    <xdr:to>
      <xdr:col>1</xdr:col>
      <xdr:colOff>277048</xdr:colOff>
      <xdr:row>18</xdr:row>
      <xdr:rowOff>203033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D473833-8DC0-7749-AF13-F6543EA13E5E}"/>
                </a:ext>
              </a:extLst>
            </xdr:cNvPr>
            <xdr:cNvSpPr txBox="1"/>
          </xdr:nvSpPr>
          <xdr:spPr>
            <a:xfrm>
              <a:off x="887775" y="4043138"/>
              <a:ext cx="606356" cy="196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D473833-8DC0-7749-AF13-F6543EA13E5E}"/>
                </a:ext>
              </a:extLst>
            </xdr:cNvPr>
            <xdr:cNvSpPr txBox="1"/>
          </xdr:nvSpPr>
          <xdr:spPr>
            <a:xfrm>
              <a:off x="887775" y="4043138"/>
              <a:ext cx="606356" cy="1966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14</xdr:col>
      <xdr:colOff>222482</xdr:colOff>
      <xdr:row>5</xdr:row>
      <xdr:rowOff>101970</xdr:rowOff>
    </xdr:from>
    <xdr:to>
      <xdr:col>14</xdr:col>
      <xdr:colOff>658175</xdr:colOff>
      <xdr:row>6</xdr:row>
      <xdr:rowOff>166862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6C62FF3-BDCB-624B-B903-B4A0711E8737}"/>
                </a:ext>
              </a:extLst>
            </xdr:cNvPr>
            <xdr:cNvSpPr txBox="1"/>
          </xdr:nvSpPr>
          <xdr:spPr>
            <a:xfrm>
              <a:off x="12514599" y="1464671"/>
              <a:ext cx="435693" cy="268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US" sz="110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6C62FF3-BDCB-624B-B903-B4A0711E8737}"/>
                </a:ext>
              </a:extLst>
            </xdr:cNvPr>
            <xdr:cNvSpPr txBox="1"/>
          </xdr:nvSpPr>
          <xdr:spPr>
            <a:xfrm>
              <a:off x="12514599" y="1464671"/>
              <a:ext cx="435693" cy="2688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𝑣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𝑗</a:t>
              </a:r>
              <a:endParaRPr lang="en-US" sz="110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695477</xdr:colOff>
      <xdr:row>19</xdr:row>
      <xdr:rowOff>22678</xdr:rowOff>
    </xdr:from>
    <xdr:to>
      <xdr:col>1</xdr:col>
      <xdr:colOff>423334</xdr:colOff>
      <xdr:row>19</xdr:row>
      <xdr:rowOff>377975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1F77E3B-8580-5846-BA7F-15E57694B49C}"/>
                </a:ext>
              </a:extLst>
            </xdr:cNvPr>
            <xdr:cNvSpPr txBox="1"/>
          </xdr:nvSpPr>
          <xdr:spPr>
            <a:xfrm>
              <a:off x="695477" y="4278690"/>
              <a:ext cx="944940" cy="355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𝑥𝑦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sub>
                            </m:sSub>
                          </m:e>
                        </m:acc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𝑦</m:t>
                                </m:r>
                              </m:sub>
                            </m:sSub>
                          </m:e>
                        </m:acc>
                      </m:den>
                    </m:f>
                  </m:oMath>
                </m:oMathPara>
              </a14:m>
              <a:endParaRPr lang="en-US" sz="1100" b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1F77E3B-8580-5846-BA7F-15E57694B49C}"/>
                </a:ext>
              </a:extLst>
            </xdr:cNvPr>
            <xdr:cNvSpPr txBox="1"/>
          </xdr:nvSpPr>
          <xdr:spPr>
            <a:xfrm>
              <a:off x="695477" y="4278690"/>
              <a:ext cx="944940" cy="355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</a:t>
              </a:r>
              <a:r>
                <a:rPr lang="ru-RU" sz="1100" b="0" i="0">
                  <a:latin typeface="Cambria Math" panose="02040503050406030204" pitchFamily="18" charset="0"/>
                </a:rPr>
                <a:t>в</a:t>
              </a:r>
              <a:r>
                <a:rPr lang="en-US" sz="1100" b="0" i="0">
                  <a:latin typeface="Cambria Math" panose="02040503050406030204" pitchFamily="18" charset="0"/>
                </a:rPr>
                <a:t>=((𝑥𝑦) ̅  − 𝑥 ̅  𝑦 ̅)/((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1100" b="0" i="0">
                  <a:latin typeface="Cambria Math" panose="02040503050406030204" pitchFamily="18" charset="0"/>
                </a:rPr>
                <a:t>𝑥 ) ̂(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𝜎_𝑦 ) ̂ )</a:t>
              </a:r>
              <a:endParaRPr lang="en-US" sz="1100" b="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15</xdr:col>
      <xdr:colOff>42333</xdr:colOff>
      <xdr:row>18</xdr:row>
      <xdr:rowOff>16933</xdr:rowOff>
    </xdr:from>
    <xdr:to>
      <xdr:col>15</xdr:col>
      <xdr:colOff>372533</xdr:colOff>
      <xdr:row>18</xdr:row>
      <xdr:rowOff>194733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75EE40C-F531-864C-8490-E2165F566D04}"/>
                </a:ext>
              </a:extLst>
            </xdr:cNvPr>
            <xdr:cNvSpPr txBox="1"/>
          </xdr:nvSpPr>
          <xdr:spPr>
            <a:xfrm>
              <a:off x="13216466" y="4038600"/>
              <a:ext cx="3302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𝑥𝑦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75EE40C-F531-864C-8490-E2165F566D04}"/>
                </a:ext>
              </a:extLst>
            </xdr:cNvPr>
            <xdr:cNvSpPr txBox="1"/>
          </xdr:nvSpPr>
          <xdr:spPr>
            <a:xfrm>
              <a:off x="13216466" y="4038600"/>
              <a:ext cx="330200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=(𝑥𝑦) ̅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173973</xdr:colOff>
      <xdr:row>27</xdr:row>
      <xdr:rowOff>28996</xdr:rowOff>
    </xdr:from>
    <xdr:to>
      <xdr:col>0</xdr:col>
      <xdr:colOff>1032237</xdr:colOff>
      <xdr:row>27</xdr:row>
      <xdr:rowOff>388540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A1AEECF-E84B-7241-8B56-D8EA0241D30C}"/>
                </a:ext>
              </a:extLst>
            </xdr:cNvPr>
            <xdr:cNvSpPr txBox="1"/>
          </xdr:nvSpPr>
          <xdr:spPr>
            <a:xfrm>
              <a:off x="173973" y="6054247"/>
              <a:ext cx="858264" cy="3595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𝑥𝑧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e>
                        </m:acc>
                      </m:num>
                      <m:den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A1AEECF-E84B-7241-8B56-D8EA0241D30C}"/>
                </a:ext>
              </a:extLst>
            </xdr:cNvPr>
            <xdr:cNvSpPr txBox="1"/>
          </xdr:nvSpPr>
          <xdr:spPr>
            <a:xfrm>
              <a:off x="173973" y="6054247"/>
              <a:ext cx="858264" cy="3595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𝑏=</a:t>
              </a:r>
              <a:r>
                <a:rPr lang="en-US" sz="1100" b="0" i="0">
                  <a:latin typeface="Cambria Math" panose="02040503050406030204" pitchFamily="18" charset="0"/>
                </a:rPr>
                <a:t>((𝑥𝑧) ̅  − 𝑥 ̅  𝑧 ̅)/(𝐷_𝑥^∗ 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266758</xdr:colOff>
      <xdr:row>28</xdr:row>
      <xdr:rowOff>23198</xdr:rowOff>
    </xdr:from>
    <xdr:to>
      <xdr:col>0</xdr:col>
      <xdr:colOff>956849</xdr:colOff>
      <xdr:row>28</xdr:row>
      <xdr:rowOff>197170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957F4D0-1DD0-1E44-B67A-ADF1FAFEBD88}"/>
                </a:ext>
              </a:extLst>
            </xdr:cNvPr>
            <xdr:cNvSpPr txBox="1"/>
          </xdr:nvSpPr>
          <xdr:spPr>
            <a:xfrm>
              <a:off x="266758" y="6465983"/>
              <a:ext cx="690091" cy="173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957F4D0-1DD0-1E44-B67A-ADF1FAFEBD88}"/>
                </a:ext>
              </a:extLst>
            </xdr:cNvPr>
            <xdr:cNvSpPr txBox="1"/>
          </xdr:nvSpPr>
          <xdr:spPr>
            <a:xfrm>
              <a:off x="266758" y="6465983"/>
              <a:ext cx="690091" cy="173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𝑎=𝑦 ̅−𝑏𝑥 ̅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498723</xdr:colOff>
      <xdr:row>29</xdr:row>
      <xdr:rowOff>11600</xdr:rowOff>
    </xdr:from>
    <xdr:to>
      <xdr:col>0</xdr:col>
      <xdr:colOff>771279</xdr:colOff>
      <xdr:row>29</xdr:row>
      <xdr:rowOff>191372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AAA4429-757B-4740-A96C-E59FD0A22E5E}"/>
                </a:ext>
              </a:extLst>
            </xdr:cNvPr>
            <xdr:cNvSpPr txBox="1"/>
          </xdr:nvSpPr>
          <xdr:spPr>
            <a:xfrm>
              <a:off x="498723" y="6657353"/>
              <a:ext cx="272556" cy="17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AAA4429-757B-4740-A96C-E59FD0A22E5E}"/>
                </a:ext>
              </a:extLst>
            </xdr:cNvPr>
            <xdr:cNvSpPr txBox="1"/>
          </xdr:nvSpPr>
          <xdr:spPr>
            <a:xfrm>
              <a:off x="498723" y="6657353"/>
              <a:ext cx="272556" cy="17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(𝑦_𝑥 ) ̅</a:t>
              </a:r>
              <a:endParaRPr lang="ru-RU" sz="1100"/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9073</xdr:colOff>
      <xdr:row>0</xdr:row>
      <xdr:rowOff>27215</xdr:rowOff>
    </xdr:from>
    <xdr:to>
      <xdr:col>13</xdr:col>
      <xdr:colOff>756661</xdr:colOff>
      <xdr:row>18</xdr:row>
      <xdr:rowOff>45229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2AEBCC3-6408-1043-A034-5B8B5D6A4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196648</xdr:colOff>
      <xdr:row>7</xdr:row>
      <xdr:rowOff>101802</xdr:rowOff>
    </xdr:from>
    <xdr:ext cx="418194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093415-B0DF-414E-9B53-C8AE2E0C0844}"/>
                </a:ext>
              </a:extLst>
            </xdr:cNvPr>
            <xdr:cNvSpPr txBox="1"/>
          </xdr:nvSpPr>
          <xdr:spPr>
            <a:xfrm>
              <a:off x="1023156" y="1528032"/>
              <a:ext cx="41819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2093415-B0DF-414E-9B53-C8AE2E0C0844}"/>
                </a:ext>
              </a:extLst>
            </xdr:cNvPr>
            <xdr:cNvSpPr txBox="1"/>
          </xdr:nvSpPr>
          <xdr:spPr>
            <a:xfrm>
              <a:off x="1023156" y="1528032"/>
              <a:ext cx="41819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𝑥 </a:t>
              </a:r>
              <a:r>
                <a:rPr lang="ru-RU" sz="1100" b="0" i="0">
                  <a:latin typeface="Cambria Math" panose="02040503050406030204" pitchFamily="18" charset="0"/>
                </a:rPr>
                <a:t>) ̅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214691</xdr:colOff>
      <xdr:row>7</xdr:row>
      <xdr:rowOff>101399</xdr:rowOff>
    </xdr:from>
    <xdr:to>
      <xdr:col>0</xdr:col>
      <xdr:colOff>655158</xdr:colOff>
      <xdr:row>8</xdr:row>
      <xdr:rowOff>110874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F3FB32E-E5D0-954B-A569-5458D0765699}"/>
                </a:ext>
              </a:extLst>
            </xdr:cNvPr>
            <xdr:cNvSpPr txBox="1"/>
          </xdr:nvSpPr>
          <xdr:spPr>
            <a:xfrm>
              <a:off x="214691" y="1527629"/>
              <a:ext cx="440467" cy="211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F3FB32E-E5D0-954B-A569-5458D0765699}"/>
                </a:ext>
              </a:extLst>
            </xdr:cNvPr>
            <xdr:cNvSpPr txBox="1"/>
          </xdr:nvSpPr>
          <xdr:spPr>
            <a:xfrm>
              <a:off x="214691" y="1527629"/>
              <a:ext cx="440467" cy="2110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𝑖</a:t>
              </a:r>
              <a:endParaRPr lang="ru-RU" sz="1100"/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323136</xdr:colOff>
      <xdr:row>1</xdr:row>
      <xdr:rowOff>15029</xdr:rowOff>
    </xdr:from>
    <xdr:to>
      <xdr:col>0</xdr:col>
      <xdr:colOff>924319</xdr:colOff>
      <xdr:row>1</xdr:row>
      <xdr:rowOff>533550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1696EF5-6958-314B-9601-A62F87120CD6}"/>
                </a:ext>
              </a:extLst>
            </xdr:cNvPr>
            <xdr:cNvSpPr txBox="1"/>
          </xdr:nvSpPr>
          <xdr:spPr>
            <a:xfrm>
              <a:off x="323136" y="661301"/>
              <a:ext cx="601183" cy="5185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𝜂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м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ru-RU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о</m:t>
                                </m:r>
                              </m:sub>
                            </m:sSub>
                          </m:den>
                        </m:f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1696EF5-6958-314B-9601-A62F87120CD6}"/>
                </a:ext>
              </a:extLst>
            </xdr:cNvPr>
            <xdr:cNvSpPr txBox="1"/>
          </xdr:nvSpPr>
          <xdr:spPr>
            <a:xfrm>
              <a:off x="323136" y="661301"/>
              <a:ext cx="601183" cy="5185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𝜂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=√(𝐷_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/𝐷_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о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</xdr:col>
      <xdr:colOff>308106</xdr:colOff>
      <xdr:row>1</xdr:row>
      <xdr:rowOff>165326</xdr:rowOff>
    </xdr:from>
    <xdr:to>
      <xdr:col>1</xdr:col>
      <xdr:colOff>661301</xdr:colOff>
      <xdr:row>1</xdr:row>
      <xdr:rowOff>413314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C9AB65-1EEA-E34F-87D6-6CB74AA56D8D}"/>
                </a:ext>
              </a:extLst>
            </xdr:cNvPr>
            <xdr:cNvSpPr txBox="1"/>
          </xdr:nvSpPr>
          <xdr:spPr>
            <a:xfrm>
              <a:off x="1555562" y="811598"/>
              <a:ext cx="353195" cy="2479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в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AC9AB65-1EEA-E34F-87D6-6CB74AA56D8D}"/>
                </a:ext>
              </a:extLst>
            </xdr:cNvPr>
            <xdr:cNvSpPr txBox="1"/>
          </xdr:nvSpPr>
          <xdr:spPr>
            <a:xfrm>
              <a:off x="1555562" y="811598"/>
              <a:ext cx="353195" cy="2479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</a:t>
              </a:r>
              <a:r>
                <a:rPr lang="ru-RU" sz="1100" b="0" i="0">
                  <a:latin typeface="Cambria Math" panose="02040503050406030204" pitchFamily="18" charset="0"/>
                </a:rPr>
                <a:t>в</a:t>
              </a:r>
              <a:endParaRPr lang="ru-RU" sz="1100"/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250297</xdr:colOff>
      <xdr:row>8</xdr:row>
      <xdr:rowOff>19578</xdr:rowOff>
    </xdr:from>
    <xdr:to>
      <xdr:col>2</xdr:col>
      <xdr:colOff>641615</xdr:colOff>
      <xdr:row>8</xdr:row>
      <xdr:rowOff>205051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338E6B9-92F4-084C-8647-2FE1774F9360}"/>
                </a:ext>
              </a:extLst>
            </xdr:cNvPr>
            <xdr:cNvSpPr txBox="1"/>
          </xdr:nvSpPr>
          <xdr:spPr>
            <a:xfrm>
              <a:off x="1903943" y="1659995"/>
              <a:ext cx="391318" cy="1854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338E6B9-92F4-084C-8647-2FE1774F9360}"/>
                </a:ext>
              </a:extLst>
            </xdr:cNvPr>
            <xdr:cNvSpPr txBox="1"/>
          </xdr:nvSpPr>
          <xdr:spPr>
            <a:xfrm>
              <a:off x="1903943" y="1659995"/>
              <a:ext cx="391318" cy="1854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𝒮_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310887</xdr:colOff>
      <xdr:row>8</xdr:row>
      <xdr:rowOff>20637</xdr:rowOff>
    </xdr:from>
    <xdr:to>
      <xdr:col>3</xdr:col>
      <xdr:colOff>582085</xdr:colOff>
      <xdr:row>8</xdr:row>
      <xdr:rowOff>198437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93F6181-762D-7945-B27F-57581D6E8BC9}"/>
                </a:ext>
              </a:extLst>
            </xdr:cNvPr>
            <xdr:cNvSpPr txBox="1"/>
          </xdr:nvSpPr>
          <xdr:spPr>
            <a:xfrm>
              <a:off x="2791356" y="1661054"/>
              <a:ext cx="271198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𝒮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93F6181-762D-7945-B27F-57581D6E8BC9}"/>
                </a:ext>
              </a:extLst>
            </xdr:cNvPr>
            <xdr:cNvSpPr txBox="1"/>
          </xdr:nvSpPr>
          <xdr:spPr>
            <a:xfrm>
              <a:off x="2791356" y="1661054"/>
              <a:ext cx="271198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𝒮_</a:t>
              </a:r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4</xdr:col>
      <xdr:colOff>256910</xdr:colOff>
      <xdr:row>8</xdr:row>
      <xdr:rowOff>28574</xdr:rowOff>
    </xdr:from>
    <xdr:to>
      <xdr:col>4</xdr:col>
      <xdr:colOff>608541</xdr:colOff>
      <xdr:row>8</xdr:row>
      <xdr:rowOff>211665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1B7BAE9-4BC1-A24C-BF58-38CF1269404B}"/>
                </a:ext>
              </a:extLst>
            </xdr:cNvPr>
            <xdr:cNvSpPr txBox="1"/>
          </xdr:nvSpPr>
          <xdr:spPr>
            <a:xfrm>
              <a:off x="3564202" y="1668991"/>
              <a:ext cx="351631" cy="1830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1B7BAE9-4BC1-A24C-BF58-38CF1269404B}"/>
                </a:ext>
              </a:extLst>
            </xdr:cNvPr>
            <xdr:cNvSpPr txBox="1"/>
          </xdr:nvSpPr>
          <xdr:spPr>
            <a:xfrm>
              <a:off x="3564202" y="1668991"/>
              <a:ext cx="351631" cy="1830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5</xdr:col>
      <xdr:colOff>291043</xdr:colOff>
      <xdr:row>8</xdr:row>
      <xdr:rowOff>33073</xdr:rowOff>
    </xdr:from>
    <xdr:to>
      <xdr:col>5</xdr:col>
      <xdr:colOff>568854</xdr:colOff>
      <xdr:row>8</xdr:row>
      <xdr:rowOff>211666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8E2110-764B-AD4E-A3EF-CA721A63D4EC}"/>
                </a:ext>
              </a:extLst>
            </xdr:cNvPr>
            <xdr:cNvSpPr txBox="1"/>
          </xdr:nvSpPr>
          <xdr:spPr>
            <a:xfrm>
              <a:off x="4425158" y="1673490"/>
              <a:ext cx="277811" cy="1785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𝒮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8E2110-764B-AD4E-A3EF-CA721A63D4EC}"/>
                </a:ext>
              </a:extLst>
            </xdr:cNvPr>
            <xdr:cNvSpPr txBox="1"/>
          </xdr:nvSpPr>
          <xdr:spPr>
            <a:xfrm>
              <a:off x="4425158" y="1673490"/>
              <a:ext cx="277811" cy="1785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𝒮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6</xdr:col>
      <xdr:colOff>284162</xdr:colOff>
      <xdr:row>8</xdr:row>
      <xdr:rowOff>33866</xdr:rowOff>
    </xdr:from>
    <xdr:to>
      <xdr:col>6</xdr:col>
      <xdr:colOff>568853</xdr:colOff>
      <xdr:row>8</xdr:row>
      <xdr:rowOff>198437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C382125-5ED1-6746-9759-837EA42C4DB8}"/>
                </a:ext>
              </a:extLst>
            </xdr:cNvPr>
            <xdr:cNvSpPr txBox="1"/>
          </xdr:nvSpPr>
          <xdr:spPr>
            <a:xfrm>
              <a:off x="5245100" y="1674283"/>
              <a:ext cx="284691" cy="16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C382125-5ED1-6746-9759-837EA42C4DB8}"/>
                </a:ext>
              </a:extLst>
            </xdr:cNvPr>
            <xdr:cNvSpPr txBox="1"/>
          </xdr:nvSpPr>
          <xdr:spPr>
            <a:xfrm>
              <a:off x="5245100" y="1674283"/>
              <a:ext cx="284691" cy="16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7</xdr:col>
      <xdr:colOff>230982</xdr:colOff>
      <xdr:row>8</xdr:row>
      <xdr:rowOff>23283</xdr:rowOff>
    </xdr:from>
    <xdr:ext cx="390790" cy="1817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D4A54F3-510D-FF42-95EC-3794A646881D}"/>
                </a:ext>
              </a:extLst>
            </xdr:cNvPr>
            <xdr:cNvSpPr txBox="1"/>
          </xdr:nvSpPr>
          <xdr:spPr>
            <a:xfrm>
              <a:off x="6018742" y="1663700"/>
              <a:ext cx="390790" cy="181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D4A54F3-510D-FF42-95EC-3794A646881D}"/>
                </a:ext>
              </a:extLst>
            </xdr:cNvPr>
            <xdr:cNvSpPr txBox="1"/>
          </xdr:nvSpPr>
          <xdr:spPr>
            <a:xfrm>
              <a:off x="6018742" y="1663700"/>
              <a:ext cx="390790" cy="181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𝐷(𝑥)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8</xdr:col>
      <xdr:colOff>279665</xdr:colOff>
      <xdr:row>8</xdr:row>
      <xdr:rowOff>22754</xdr:rowOff>
    </xdr:from>
    <xdr:to>
      <xdr:col>8</xdr:col>
      <xdr:colOff>601928</xdr:colOff>
      <xdr:row>8</xdr:row>
      <xdr:rowOff>211666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2A1BDE0-3141-B047-B822-CD1A2BF989FD}"/>
                </a:ext>
              </a:extLst>
            </xdr:cNvPr>
            <xdr:cNvSpPr txBox="1"/>
          </xdr:nvSpPr>
          <xdr:spPr>
            <a:xfrm>
              <a:off x="6894248" y="1663171"/>
              <a:ext cx="322263" cy="188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2A1BDE0-3141-B047-B822-CD1A2BF989FD}"/>
                </a:ext>
              </a:extLst>
            </xdr:cNvPr>
            <xdr:cNvSpPr txBox="1"/>
          </xdr:nvSpPr>
          <xdr:spPr>
            <a:xfrm>
              <a:off x="6894248" y="1663171"/>
              <a:ext cx="322263" cy="188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𝐷(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0</xdr:col>
      <xdr:colOff>52917</xdr:colOff>
      <xdr:row>12</xdr:row>
      <xdr:rowOff>26459</xdr:rowOff>
    </xdr:from>
    <xdr:ext cx="1111250" cy="1658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7C2EAC2-2E97-3E48-ADFE-01A13D03C779}"/>
                </a:ext>
              </a:extLst>
            </xdr:cNvPr>
            <xdr:cNvSpPr txBox="1"/>
          </xdr:nvSpPr>
          <xdr:spPr>
            <a:xfrm>
              <a:off x="52917" y="2711980"/>
              <a:ext cx="1111250" cy="165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=0,</m:t>
                    </m:r>
                    <m:r>
                      <a:rPr lang="ru-RU" sz="1050" b="0" i="1">
                        <a:latin typeface="Cambria Math" panose="02040503050406030204" pitchFamily="18" charset="0"/>
                      </a:rPr>
                      <m:t>77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𝒳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ru-RU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64</m:t>
                    </m:r>
                    <m:r>
                      <a:rPr lang="en-US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ru-RU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87</m:t>
                    </m:r>
                  </m:oMath>
                </m:oMathPara>
              </a14:m>
              <a:endParaRPr lang="ru-RU" sz="105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7C2EAC2-2E97-3E48-ADFE-01A13D03C779}"/>
                </a:ext>
              </a:extLst>
            </xdr:cNvPr>
            <xdr:cNvSpPr txBox="1"/>
          </xdr:nvSpPr>
          <xdr:spPr>
            <a:xfrm>
              <a:off x="52917" y="2711980"/>
              <a:ext cx="1111250" cy="165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050" b="0" i="0">
                  <a:latin typeface="Cambria Math" panose="02040503050406030204" pitchFamily="18" charset="0"/>
                </a:rPr>
                <a:t>𝑦=0,</a:t>
              </a:r>
              <a:r>
                <a:rPr lang="ru-RU" sz="1050" b="0" i="0">
                  <a:latin typeface="Cambria Math" panose="02040503050406030204" pitchFamily="18" charset="0"/>
                </a:rPr>
                <a:t>77</a:t>
              </a: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𝒳−</a:t>
              </a:r>
              <a:r>
                <a:rPr lang="ru-RU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64</a:t>
              </a:r>
              <a:r>
                <a:rPr lang="en-US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r>
                <a:rPr lang="ru-RU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87</a:t>
              </a:r>
              <a:endParaRPr lang="ru-RU" sz="1050"/>
            </a:p>
          </xdr:txBody>
        </xdr:sp>
      </mc:Fallback>
    </mc:AlternateContent>
    <xdr:clientData/>
  </xdr:oneCellAnchor>
  <xdr:twoCellAnchor>
    <xdr:from>
      <xdr:col>0</xdr:col>
      <xdr:colOff>447223</xdr:colOff>
      <xdr:row>16</xdr:row>
      <xdr:rowOff>156026</xdr:rowOff>
    </xdr:from>
    <xdr:to>
      <xdr:col>0</xdr:col>
      <xdr:colOff>764723</xdr:colOff>
      <xdr:row>16</xdr:row>
      <xdr:rowOff>341236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4B8B5E2-6A17-ED42-9624-925B746C8DA4}"/>
                </a:ext>
              </a:extLst>
            </xdr:cNvPr>
            <xdr:cNvSpPr txBox="1"/>
          </xdr:nvSpPr>
          <xdr:spPr>
            <a:xfrm>
              <a:off x="447223" y="3577555"/>
              <a:ext cx="317500" cy="1852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4B8B5E2-6A17-ED42-9624-925B746C8DA4}"/>
                </a:ext>
              </a:extLst>
            </xdr:cNvPr>
            <xdr:cNvSpPr txBox="1"/>
          </xdr:nvSpPr>
          <xdr:spPr>
            <a:xfrm>
              <a:off x="447223" y="3577555"/>
              <a:ext cx="317500" cy="1852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𝑝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1</xdr:colOff>
      <xdr:row>16</xdr:row>
      <xdr:rowOff>6616</xdr:rowOff>
    </xdr:from>
    <xdr:to>
      <xdr:col>2</xdr:col>
      <xdr:colOff>1495559</xdr:colOff>
      <xdr:row>16</xdr:row>
      <xdr:rowOff>469636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E6DF0E-E3A3-D140-984F-7C4A230C5467}"/>
                </a:ext>
              </a:extLst>
            </xdr:cNvPr>
            <xdr:cNvSpPr txBox="1"/>
          </xdr:nvSpPr>
          <xdr:spPr>
            <a:xfrm>
              <a:off x="2412511" y="3414531"/>
              <a:ext cx="1495558" cy="463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ru-RU" sz="1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ru-RU" sz="1000" b="0" i="1">
                            <a:latin typeface="Cambria Math" panose="02040503050406030204" pitchFamily="18" charset="0"/>
                          </a:rPr>
                          <m:t>р</m:t>
                        </m:r>
                      </m:sub>
                    </m:sSub>
                    <m:r>
                      <a:rPr lang="ru-RU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000" b="0" i="1">
                        <a:latin typeface="Cambria Math" panose="02040503050406030204" pitchFamily="18" charset="0"/>
                      </a:rPr>
                      <m:t>𝑆</m:t>
                    </m:r>
                    <m:rad>
                      <m:radPr>
                        <m:degHide m:val="on"/>
                        <m:ctrlPr>
                          <a:rPr lang="en-US" sz="10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1+</m:t>
                        </m:r>
                        <m:f>
                          <m:f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n-US" sz="1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0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000" b="0" i="1">
                                        <a:latin typeface="Cambria Math" panose="02040503050406030204" pitchFamily="18" charset="0"/>
                                      </a:rPr>
                                      <m:t>𝑝</m:t>
                                    </m:r>
                                  </m:sub>
                                </m:sSub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0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</m:acc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𝑛𝐷</m:t>
                            </m:r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0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ru-RU" sz="10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3E6DF0E-E3A3-D140-984F-7C4A230C5467}"/>
                </a:ext>
              </a:extLst>
            </xdr:cNvPr>
            <xdr:cNvSpPr txBox="1"/>
          </xdr:nvSpPr>
          <xdr:spPr>
            <a:xfrm>
              <a:off x="2412511" y="3414531"/>
              <a:ext cx="1495558" cy="4630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ru-RU" sz="1000" b="0" i="0">
                  <a:latin typeface="Cambria Math" panose="02040503050406030204" pitchFamily="18" charset="0"/>
                </a:rPr>
                <a:t>_</a:t>
              </a:r>
              <a:r>
                <a:rPr lang="ru-RU" sz="1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ru-RU" sz="1000" b="0" i="0">
                  <a:latin typeface="Cambria Math" panose="02040503050406030204" pitchFamily="18" charset="0"/>
                </a:rPr>
                <a:t>р=</a:t>
              </a:r>
              <a:r>
                <a:rPr lang="en-US" sz="1000" b="0" i="0">
                  <a:latin typeface="Cambria Math" panose="02040503050406030204" pitchFamily="18" charset="0"/>
                </a:rPr>
                <a:t>𝑆√(1+1/𝑛+〖(𝑥_𝑝−𝑥 ̅)〗^2/(𝑛𝐷(𝑥)))</a:t>
              </a:r>
              <a:endParaRPr lang="ru-RU" sz="1000"/>
            </a:p>
          </xdr:txBody>
        </xdr:sp>
      </mc:Fallback>
    </mc:AlternateContent>
    <xdr:clientData/>
  </xdr:twoCellAnchor>
  <xdr:twoCellAnchor>
    <xdr:from>
      <xdr:col>3</xdr:col>
      <xdr:colOff>224117</xdr:colOff>
      <xdr:row>16</xdr:row>
      <xdr:rowOff>149412</xdr:rowOff>
    </xdr:from>
    <xdr:to>
      <xdr:col>3</xdr:col>
      <xdr:colOff>627529</xdr:colOff>
      <xdr:row>16</xdr:row>
      <xdr:rowOff>381001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D014FA-C85A-A646-B55A-9F2139AC7918}"/>
                </a:ext>
              </a:extLst>
            </xdr:cNvPr>
            <xdr:cNvSpPr txBox="1"/>
          </xdr:nvSpPr>
          <xdr:spPr>
            <a:xfrm>
              <a:off x="4146176" y="3570941"/>
              <a:ext cx="403412" cy="2315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CD014FA-C85A-A646-B55A-9F2139AC7918}"/>
                </a:ext>
              </a:extLst>
            </xdr:cNvPr>
            <xdr:cNvSpPr txBox="1"/>
          </xdr:nvSpPr>
          <xdr:spPr>
            <a:xfrm>
              <a:off x="4146176" y="3570941"/>
              <a:ext cx="403412" cy="2315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_кр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4</xdr:col>
      <xdr:colOff>37353</xdr:colOff>
      <xdr:row>16</xdr:row>
      <xdr:rowOff>141941</xdr:rowOff>
    </xdr:from>
    <xdr:to>
      <xdr:col>4</xdr:col>
      <xdr:colOff>821765</xdr:colOff>
      <xdr:row>16</xdr:row>
      <xdr:rowOff>343648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B09D7BE-86B7-D24A-B64C-FCCA2E32A6E2}"/>
                </a:ext>
              </a:extLst>
            </xdr:cNvPr>
            <xdr:cNvSpPr txBox="1"/>
          </xdr:nvSpPr>
          <xdr:spPr>
            <a:xfrm>
              <a:off x="4788647" y="3563470"/>
              <a:ext cx="784412" cy="201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RU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100" i="1">
                          <a:latin typeface="Cambria Math" panose="02040503050406030204" pitchFamily="18" charset="0"/>
                        </a:rPr>
                        <m:t>𝑦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−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кр</m:t>
                      </m:r>
                    </m:sub>
                  </m:sSub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∆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р</m:t>
                      </m:r>
                    </m:sub>
                  </m:sSub>
                </m:oMath>
              </a14:m>
              <a:r>
                <a:rPr lang="en-US" sz="1100"/>
                <a:t>)</a:t>
              </a:r>
              <a:endParaRPr lang="ru-RU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B09D7BE-86B7-D24A-B64C-FCCA2E32A6E2}"/>
                </a:ext>
              </a:extLst>
            </xdr:cNvPr>
            <xdr:cNvSpPr txBox="1"/>
          </xdr:nvSpPr>
          <xdr:spPr>
            <a:xfrm>
              <a:off x="4788647" y="3563470"/>
              <a:ext cx="784412" cy="201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latin typeface="Cambria Math" panose="02040503050406030204" pitchFamily="18" charset="0"/>
                </a:rPr>
                <a:t>𝑦</a:t>
              </a:r>
              <a:r>
                <a:rPr lang="ru-RU" sz="1100" b="0" i="0">
                  <a:latin typeface="Cambria Math" panose="02040503050406030204" pitchFamily="18" charset="0"/>
                </a:rPr>
                <a:t> −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ru-RU" sz="1100" b="0" i="0">
                  <a:latin typeface="Cambria Math" panose="02040503050406030204" pitchFamily="18" charset="0"/>
                </a:rPr>
                <a:t>р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5</xdr:col>
      <xdr:colOff>37353</xdr:colOff>
      <xdr:row>16</xdr:row>
      <xdr:rowOff>141941</xdr:rowOff>
    </xdr:from>
    <xdr:to>
      <xdr:col>5</xdr:col>
      <xdr:colOff>821765</xdr:colOff>
      <xdr:row>16</xdr:row>
      <xdr:rowOff>343648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CB281D5-A289-7640-9C04-2CC53D5CAF07}"/>
                </a:ext>
              </a:extLst>
            </xdr:cNvPr>
            <xdr:cNvSpPr txBox="1"/>
          </xdr:nvSpPr>
          <xdr:spPr>
            <a:xfrm>
              <a:off x="5617882" y="3563470"/>
              <a:ext cx="784412" cy="201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ru-RU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100" i="1">
                          <a:latin typeface="Cambria Math" panose="02040503050406030204" pitchFamily="18" charset="0"/>
                        </a:rPr>
                        <m:t>𝑦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</a:rPr>
                        <m:t>кр</m:t>
                      </m:r>
                    </m:sub>
                  </m:sSub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ru-RU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∆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р</m:t>
                      </m:r>
                    </m:sub>
                  </m:sSub>
                </m:oMath>
              </a14:m>
              <a:r>
                <a:rPr lang="en-US" sz="1100"/>
                <a:t>)</a:t>
              </a:r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CB281D5-A289-7640-9C04-2CC53D5CAF07}"/>
                </a:ext>
              </a:extLst>
            </xdr:cNvPr>
            <xdr:cNvSpPr txBox="1"/>
          </xdr:nvSpPr>
          <xdr:spPr>
            <a:xfrm>
              <a:off x="5617882" y="3563470"/>
              <a:ext cx="784412" cy="201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latin typeface="Cambria Math" panose="02040503050406030204" pitchFamily="18" charset="0"/>
                </a:rPr>
                <a:t>𝑦</a:t>
              </a:r>
              <a:r>
                <a:rPr lang="en-US" sz="1100" b="0" i="0">
                  <a:latin typeface="Cambria Math" panose="02040503050406030204" pitchFamily="18" charset="0"/>
                </a:rPr>
                <a:t>+</a:t>
              </a:r>
              <a:r>
                <a:rPr lang="ru-RU" sz="1100" b="0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ru-RU" sz="1100" b="0" i="0">
                  <a:latin typeface="Cambria Math" panose="02040503050406030204" pitchFamily="18" charset="0"/>
                </a:rPr>
                <a:t>р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0</xdr:col>
      <xdr:colOff>252544</xdr:colOff>
      <xdr:row>21</xdr:row>
      <xdr:rowOff>12854</xdr:rowOff>
    </xdr:from>
    <xdr:to>
      <xdr:col>0</xdr:col>
      <xdr:colOff>999602</xdr:colOff>
      <xdr:row>22</xdr:row>
      <xdr:rowOff>5383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F2F2B837-E2E3-4547-BDFD-E9248D0FF258}"/>
                </a:ext>
              </a:extLst>
            </xdr:cNvPr>
            <xdr:cNvSpPr txBox="1"/>
          </xdr:nvSpPr>
          <xdr:spPr>
            <a:xfrm>
              <a:off x="252544" y="4796879"/>
              <a:ext cx="747058" cy="2185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F2F2B837-E2E3-4547-BDFD-E9248D0FF258}"/>
                </a:ext>
              </a:extLst>
            </xdr:cNvPr>
            <xdr:cNvSpPr txBox="1"/>
          </xdr:nvSpPr>
          <xdr:spPr>
            <a:xfrm>
              <a:off x="252544" y="4796879"/>
              <a:ext cx="747058" cy="2185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1</xdr:col>
      <xdr:colOff>220636</xdr:colOff>
      <xdr:row>21</xdr:row>
      <xdr:rowOff>21525</xdr:rowOff>
    </xdr:from>
    <xdr:to>
      <xdr:col>1</xdr:col>
      <xdr:colOff>967694</xdr:colOff>
      <xdr:row>21</xdr:row>
      <xdr:rowOff>215759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FC2A0C7-59B6-BE4A-895B-3383299B920B}"/>
                </a:ext>
              </a:extLst>
            </xdr:cNvPr>
            <xdr:cNvSpPr txBox="1"/>
          </xdr:nvSpPr>
          <xdr:spPr>
            <a:xfrm>
              <a:off x="1426060" y="4805550"/>
              <a:ext cx="747058" cy="194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FC2A0C7-59B6-BE4A-895B-3383299B920B}"/>
                </a:ext>
              </a:extLst>
            </xdr:cNvPr>
            <xdr:cNvSpPr txBox="1"/>
          </xdr:nvSpPr>
          <xdr:spPr>
            <a:xfrm>
              <a:off x="1426060" y="4805550"/>
              <a:ext cx="747058" cy="194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r>
                <a:rPr lang="ru-RU" sz="1100" b="0" i="0">
                  <a:latin typeface="Cambria Math" panose="02040503050406030204" pitchFamily="18" charset="0"/>
                </a:rPr>
                <a:t>+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𝑎)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414365</xdr:colOff>
      <xdr:row>21</xdr:row>
      <xdr:rowOff>26906</xdr:rowOff>
    </xdr:from>
    <xdr:to>
      <xdr:col>2</xdr:col>
      <xdr:colOff>1092416</xdr:colOff>
      <xdr:row>21</xdr:row>
      <xdr:rowOff>204491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8D27489-9652-444B-AC8C-8FDE4DB92FDE}"/>
                </a:ext>
              </a:extLst>
            </xdr:cNvPr>
            <xdr:cNvSpPr txBox="1"/>
          </xdr:nvSpPr>
          <xdr:spPr>
            <a:xfrm>
              <a:off x="2825212" y="4810931"/>
              <a:ext cx="678051" cy="1775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8D27489-9652-444B-AC8C-8FDE4DB92FDE}"/>
                </a:ext>
              </a:extLst>
            </xdr:cNvPr>
            <xdr:cNvSpPr txBox="1"/>
          </xdr:nvSpPr>
          <xdr:spPr>
            <a:xfrm>
              <a:off x="2825212" y="4810931"/>
              <a:ext cx="678051" cy="1775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𝑏)</a:t>
              </a:r>
              <a:endParaRPr lang="ru-RU" sz="1100"/>
            </a:p>
          </xdr:txBody>
        </xdr:sp>
      </mc:Fallback>
    </mc:AlternateContent>
    <xdr:clientData/>
  </xdr:twoCellAnchor>
  <xdr:twoCellAnchor>
    <xdr:from>
      <xdr:col>3</xdr:col>
      <xdr:colOff>80720</xdr:colOff>
      <xdr:row>21</xdr:row>
      <xdr:rowOff>26907</xdr:rowOff>
    </xdr:from>
    <xdr:to>
      <xdr:col>3</xdr:col>
      <xdr:colOff>758771</xdr:colOff>
      <xdr:row>21</xdr:row>
      <xdr:rowOff>204492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1993A0D-661A-CB45-AA73-4E243AA24354}"/>
                </a:ext>
              </a:extLst>
            </xdr:cNvPr>
            <xdr:cNvSpPr txBox="1"/>
          </xdr:nvSpPr>
          <xdr:spPr>
            <a:xfrm>
              <a:off x="3987584" y="4810932"/>
              <a:ext cx="678051" cy="1775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1993A0D-661A-CB45-AA73-4E243AA24354}"/>
                </a:ext>
              </a:extLst>
            </xdr:cNvPr>
            <xdr:cNvSpPr txBox="1"/>
          </xdr:nvSpPr>
          <xdr:spPr>
            <a:xfrm>
              <a:off x="3987584" y="4810932"/>
              <a:ext cx="678051" cy="1775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𝑏+𝑡</a:t>
              </a:r>
              <a:r>
                <a:rPr lang="ru-RU" sz="1100" b="0" i="0">
                  <a:latin typeface="Cambria Math" panose="02040503050406030204" pitchFamily="18" charset="0"/>
                </a:rPr>
                <a:t>〗_кр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𝑏)</a:t>
              </a:r>
              <a:endParaRPr lang="ru-RU" sz="1100"/>
            </a:p>
          </xdr:txBody>
        </xdr:sp>
      </mc:Fallback>
    </mc:AlternateContent>
    <xdr:clientData/>
  </xdr:twoCellAnchor>
  <xdr:oneCellAnchor>
    <xdr:from>
      <xdr:col>0</xdr:col>
      <xdr:colOff>352778</xdr:colOff>
      <xdr:row>25</xdr:row>
      <xdr:rowOff>7840</xdr:rowOff>
    </xdr:from>
    <xdr:ext cx="423333" cy="1844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62FB124-ACDD-6441-B468-1CAA6500B66F}"/>
                </a:ext>
              </a:extLst>
            </xdr:cNvPr>
            <xdr:cNvSpPr txBox="1"/>
          </xdr:nvSpPr>
          <xdr:spPr>
            <a:xfrm>
              <a:off x="352778" y="5675803"/>
              <a:ext cx="423333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62FB124-ACDD-6441-B468-1CAA6500B66F}"/>
                </a:ext>
              </a:extLst>
            </xdr:cNvPr>
            <xdr:cNvSpPr txBox="1"/>
          </xdr:nvSpPr>
          <xdr:spPr>
            <a:xfrm>
              <a:off x="352778" y="5675803"/>
              <a:ext cx="423333" cy="1844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𝑡_</a:t>
              </a:r>
              <a:r>
                <a:rPr lang="ru-RU" sz="1100" b="0" i="0">
                  <a:latin typeface="Cambria Math" panose="02040503050406030204" pitchFamily="18" charset="0"/>
                </a:rPr>
                <a:t>кр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36114</xdr:colOff>
      <xdr:row>28</xdr:row>
      <xdr:rowOff>42132</xdr:rowOff>
    </xdr:from>
    <xdr:to>
      <xdr:col>0</xdr:col>
      <xdr:colOff>1167678</xdr:colOff>
      <xdr:row>29</xdr:row>
      <xdr:rowOff>168530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C7D1C31-FD63-8F47-9E23-B1AB12EFFB7C}"/>
                </a:ext>
              </a:extLst>
            </xdr:cNvPr>
            <xdr:cNvSpPr txBox="1"/>
          </xdr:nvSpPr>
          <xdr:spPr>
            <a:xfrm>
              <a:off x="36114" y="6331942"/>
              <a:ext cx="1131564" cy="331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&gt;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C7D1C31-FD63-8F47-9E23-B1AB12EFFB7C}"/>
                </a:ext>
              </a:extLst>
            </xdr:cNvPr>
            <xdr:cNvSpPr txBox="1"/>
          </xdr:nvSpPr>
          <xdr:spPr>
            <a:xfrm>
              <a:off x="36114" y="6331942"/>
              <a:ext cx="1131564" cy="331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𝐹&gt;𝑡_</a:t>
              </a:r>
              <a:r>
                <a:rPr lang="ru-RU" sz="1100" b="0" i="0">
                  <a:latin typeface="Cambria Math" panose="02040503050406030204" pitchFamily="18" charset="0"/>
                </a:rPr>
                <a:t>кр</a:t>
              </a:r>
              <a:endParaRPr lang="ru-RU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talij/Downloads/M3333_&#208;&#154;&#208;&#190;N&#771;&#128;&#208;&#189;&#208;&#184;&#208;&#187;N&#771;&#140;&#208;&#181;&#208;&#178;_&#208;&#144;N&#771;&#128;N&#771;&#130;&#208;&#181;&#208;&#188;&#208;&#184;&#208;&#184;I&#768;&#134;.xlsx" TargetMode="External"/><Relationship Id="rId1" Type="http://schemas.openxmlformats.org/officeDocument/2006/relationships/externalLinkPath" Target="/Users/vitalij/Downloads/M3333_&#208;&#154;&#208;&#190;N&#771;&#128;&#208;&#189;&#208;&#184;&#208;&#187;N&#771;&#140;&#208;&#181;&#208;&#178;_&#208;&#144;N&#771;&#128;N&#771;&#130;&#208;&#181;&#208;&#188;&#208;&#184;&#208;&#184;I&#768;&#13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</sheetNames>
    <sheetDataSet>
      <sheetData sheetId="0">
        <row r="2">
          <cell r="B2">
            <v>168</v>
          </cell>
          <cell r="C2">
            <v>67</v>
          </cell>
        </row>
        <row r="3">
          <cell r="B3">
            <v>177</v>
          </cell>
          <cell r="C3">
            <v>68</v>
          </cell>
        </row>
        <row r="4">
          <cell r="B4">
            <v>175</v>
          </cell>
          <cell r="C4">
            <v>67</v>
          </cell>
        </row>
        <row r="5">
          <cell r="B5">
            <v>160</v>
          </cell>
          <cell r="C5">
            <v>59</v>
          </cell>
        </row>
        <row r="6">
          <cell r="B6">
            <v>172</v>
          </cell>
          <cell r="C6">
            <v>70</v>
          </cell>
        </row>
        <row r="7">
          <cell r="B7">
            <v>171</v>
          </cell>
          <cell r="C7">
            <v>66</v>
          </cell>
        </row>
        <row r="8">
          <cell r="B8">
            <v>159</v>
          </cell>
          <cell r="C8">
            <v>57</v>
          </cell>
        </row>
        <row r="9">
          <cell r="B9">
            <v>165</v>
          </cell>
          <cell r="C9">
            <v>63</v>
          </cell>
        </row>
        <row r="10">
          <cell r="B10">
            <v>173</v>
          </cell>
          <cell r="C10">
            <v>64</v>
          </cell>
        </row>
        <row r="11">
          <cell r="B11">
            <v>174</v>
          </cell>
          <cell r="C11">
            <v>74</v>
          </cell>
        </row>
        <row r="12">
          <cell r="B12">
            <v>161</v>
          </cell>
          <cell r="C12">
            <v>60</v>
          </cell>
        </row>
        <row r="13">
          <cell r="B13">
            <v>165</v>
          </cell>
          <cell r="C13">
            <v>60</v>
          </cell>
        </row>
        <row r="14">
          <cell r="B14">
            <v>175</v>
          </cell>
          <cell r="C14">
            <v>59</v>
          </cell>
        </row>
        <row r="15">
          <cell r="B15">
            <v>176</v>
          </cell>
          <cell r="C15">
            <v>65</v>
          </cell>
        </row>
        <row r="16">
          <cell r="B16">
            <v>170</v>
          </cell>
          <cell r="C16">
            <v>73</v>
          </cell>
        </row>
        <row r="17">
          <cell r="B17">
            <v>184</v>
          </cell>
          <cell r="C17">
            <v>68</v>
          </cell>
        </row>
        <row r="18">
          <cell r="B18">
            <v>171</v>
          </cell>
          <cell r="C18">
            <v>72</v>
          </cell>
        </row>
        <row r="19">
          <cell r="B19">
            <v>172</v>
          </cell>
          <cell r="C19">
            <v>63</v>
          </cell>
        </row>
        <row r="20">
          <cell r="B20">
            <v>176</v>
          </cell>
          <cell r="C20">
            <v>70</v>
          </cell>
        </row>
        <row r="21">
          <cell r="B21">
            <v>159</v>
          </cell>
          <cell r="C21">
            <v>48</v>
          </cell>
        </row>
        <row r="22">
          <cell r="B22">
            <v>178</v>
          </cell>
          <cell r="C22">
            <v>62</v>
          </cell>
        </row>
        <row r="23">
          <cell r="B23">
            <v>164</v>
          </cell>
          <cell r="C23">
            <v>61</v>
          </cell>
        </row>
        <row r="24">
          <cell r="B24">
            <v>173</v>
          </cell>
          <cell r="C24">
            <v>71</v>
          </cell>
        </row>
        <row r="25">
          <cell r="B25">
            <v>175</v>
          </cell>
          <cell r="C25">
            <v>66</v>
          </cell>
        </row>
        <row r="26">
          <cell r="B26">
            <v>159</v>
          </cell>
          <cell r="C26">
            <v>55</v>
          </cell>
        </row>
        <row r="27">
          <cell r="B27">
            <v>169</v>
          </cell>
          <cell r="C27">
            <v>55</v>
          </cell>
        </row>
        <row r="28">
          <cell r="B28">
            <v>173</v>
          </cell>
          <cell r="C28">
            <v>75</v>
          </cell>
        </row>
        <row r="29">
          <cell r="B29">
            <v>173</v>
          </cell>
          <cell r="C29">
            <v>66</v>
          </cell>
        </row>
        <row r="30">
          <cell r="B30">
            <v>161</v>
          </cell>
          <cell r="C30">
            <v>60</v>
          </cell>
        </row>
        <row r="31">
          <cell r="B31">
            <v>168</v>
          </cell>
          <cell r="C31">
            <v>63</v>
          </cell>
        </row>
        <row r="32">
          <cell r="B32">
            <v>168</v>
          </cell>
          <cell r="C32">
            <v>67</v>
          </cell>
        </row>
        <row r="33">
          <cell r="B33">
            <v>164</v>
          </cell>
          <cell r="C33">
            <v>59</v>
          </cell>
        </row>
        <row r="34">
          <cell r="B34">
            <v>168</v>
          </cell>
          <cell r="C34">
            <v>64</v>
          </cell>
        </row>
        <row r="35">
          <cell r="B35">
            <v>181</v>
          </cell>
          <cell r="C35">
            <v>69</v>
          </cell>
        </row>
        <row r="36">
          <cell r="B36">
            <v>170</v>
          </cell>
          <cell r="C36">
            <v>73</v>
          </cell>
        </row>
        <row r="37">
          <cell r="B37">
            <v>184</v>
          </cell>
          <cell r="C37">
            <v>68</v>
          </cell>
        </row>
        <row r="38">
          <cell r="B38">
            <v>169</v>
          </cell>
          <cell r="C38">
            <v>66</v>
          </cell>
        </row>
        <row r="39">
          <cell r="B39">
            <v>170</v>
          </cell>
          <cell r="C39">
            <v>76</v>
          </cell>
        </row>
        <row r="40">
          <cell r="B40">
            <v>176</v>
          </cell>
          <cell r="C40">
            <v>67</v>
          </cell>
        </row>
        <row r="41">
          <cell r="B41">
            <v>169</v>
          </cell>
          <cell r="C41">
            <v>64</v>
          </cell>
        </row>
        <row r="42">
          <cell r="B42">
            <v>170</v>
          </cell>
          <cell r="C42">
            <v>61</v>
          </cell>
        </row>
        <row r="43">
          <cell r="B43">
            <v>171</v>
          </cell>
          <cell r="C43">
            <v>72</v>
          </cell>
        </row>
        <row r="44">
          <cell r="B44">
            <v>168</v>
          </cell>
          <cell r="C44">
            <v>59</v>
          </cell>
        </row>
        <row r="45">
          <cell r="B45">
            <v>161</v>
          </cell>
          <cell r="C45">
            <v>51</v>
          </cell>
        </row>
        <row r="46">
          <cell r="B46">
            <v>165</v>
          </cell>
          <cell r="C46">
            <v>60</v>
          </cell>
        </row>
        <row r="47">
          <cell r="B47">
            <v>168</v>
          </cell>
          <cell r="C47">
            <v>50</v>
          </cell>
        </row>
        <row r="48">
          <cell r="B48">
            <v>175</v>
          </cell>
          <cell r="C48">
            <v>64</v>
          </cell>
        </row>
        <row r="49">
          <cell r="B49">
            <v>174</v>
          </cell>
          <cell r="C49">
            <v>66</v>
          </cell>
        </row>
        <row r="50">
          <cell r="B50">
            <v>188</v>
          </cell>
          <cell r="C50">
            <v>75</v>
          </cell>
        </row>
        <row r="51">
          <cell r="B51">
            <v>166</v>
          </cell>
          <cell r="C51">
            <v>67</v>
          </cell>
        </row>
        <row r="52">
          <cell r="B52">
            <v>178</v>
          </cell>
          <cell r="C52">
            <v>73</v>
          </cell>
        </row>
        <row r="53">
          <cell r="B53">
            <v>163</v>
          </cell>
          <cell r="C53">
            <v>63</v>
          </cell>
        </row>
        <row r="54">
          <cell r="B54">
            <v>170</v>
          </cell>
          <cell r="C54">
            <v>75</v>
          </cell>
        </row>
        <row r="55">
          <cell r="B55">
            <v>164</v>
          </cell>
          <cell r="C55">
            <v>60</v>
          </cell>
        </row>
        <row r="56">
          <cell r="B56">
            <v>164</v>
          </cell>
          <cell r="C56">
            <v>56</v>
          </cell>
        </row>
        <row r="57">
          <cell r="B57">
            <v>168</v>
          </cell>
          <cell r="C57">
            <v>59</v>
          </cell>
        </row>
        <row r="58">
          <cell r="B58">
            <v>167</v>
          </cell>
          <cell r="C58">
            <v>61</v>
          </cell>
        </row>
        <row r="59">
          <cell r="B59">
            <v>166</v>
          </cell>
          <cell r="C59">
            <v>62</v>
          </cell>
        </row>
        <row r="60">
          <cell r="B60">
            <v>162</v>
          </cell>
          <cell r="C60">
            <v>65</v>
          </cell>
        </row>
        <row r="61">
          <cell r="B61">
            <v>171</v>
          </cell>
          <cell r="C61">
            <v>60</v>
          </cell>
        </row>
        <row r="62">
          <cell r="B62">
            <v>168</v>
          </cell>
          <cell r="C62">
            <v>62</v>
          </cell>
        </row>
        <row r="63">
          <cell r="B63">
            <v>173</v>
          </cell>
          <cell r="C63">
            <v>70</v>
          </cell>
        </row>
        <row r="64">
          <cell r="B64">
            <v>167</v>
          </cell>
          <cell r="C64">
            <v>61</v>
          </cell>
        </row>
        <row r="65">
          <cell r="B65">
            <v>170</v>
          </cell>
          <cell r="C65">
            <v>74</v>
          </cell>
        </row>
        <row r="66">
          <cell r="B66">
            <v>171</v>
          </cell>
          <cell r="C66">
            <v>60</v>
          </cell>
        </row>
        <row r="67">
          <cell r="B67">
            <v>173</v>
          </cell>
          <cell r="C67">
            <v>66</v>
          </cell>
        </row>
        <row r="68">
          <cell r="B68">
            <v>187</v>
          </cell>
          <cell r="C68">
            <v>84</v>
          </cell>
        </row>
        <row r="69">
          <cell r="B69">
            <v>166</v>
          </cell>
          <cell r="C69">
            <v>58</v>
          </cell>
        </row>
        <row r="70">
          <cell r="B70">
            <v>170</v>
          </cell>
          <cell r="C70">
            <v>75</v>
          </cell>
        </row>
        <row r="71">
          <cell r="B71">
            <v>178</v>
          </cell>
          <cell r="C71">
            <v>69</v>
          </cell>
        </row>
        <row r="72">
          <cell r="B72">
            <v>173</v>
          </cell>
          <cell r="C72">
            <v>64</v>
          </cell>
        </row>
        <row r="73">
          <cell r="B73">
            <v>179</v>
          </cell>
          <cell r="C73">
            <v>71</v>
          </cell>
        </row>
        <row r="74">
          <cell r="B74">
            <v>171</v>
          </cell>
          <cell r="C74">
            <v>64</v>
          </cell>
        </row>
        <row r="75">
          <cell r="B75">
            <v>174</v>
          </cell>
          <cell r="C75">
            <v>74</v>
          </cell>
        </row>
        <row r="76">
          <cell r="B76">
            <v>164</v>
          </cell>
          <cell r="C76">
            <v>70</v>
          </cell>
        </row>
        <row r="77">
          <cell r="B77">
            <v>173</v>
          </cell>
          <cell r="C77">
            <v>69</v>
          </cell>
        </row>
        <row r="78">
          <cell r="B78">
            <v>168</v>
          </cell>
          <cell r="C78">
            <v>64</v>
          </cell>
        </row>
        <row r="79">
          <cell r="B79">
            <v>166</v>
          </cell>
          <cell r="C79">
            <v>55</v>
          </cell>
        </row>
        <row r="80">
          <cell r="B80">
            <v>177</v>
          </cell>
          <cell r="C80">
            <v>67</v>
          </cell>
        </row>
        <row r="81">
          <cell r="B81">
            <v>170</v>
          </cell>
          <cell r="C81">
            <v>61</v>
          </cell>
        </row>
        <row r="82">
          <cell r="B82">
            <v>167</v>
          </cell>
          <cell r="C82">
            <v>63</v>
          </cell>
        </row>
        <row r="83">
          <cell r="B83">
            <v>174</v>
          </cell>
          <cell r="C83">
            <v>75</v>
          </cell>
        </row>
        <row r="84">
          <cell r="B84">
            <v>164</v>
          </cell>
          <cell r="C84">
            <v>59</v>
          </cell>
        </row>
        <row r="85">
          <cell r="B85">
            <v>164</v>
          </cell>
          <cell r="C85">
            <v>62</v>
          </cell>
        </row>
        <row r="86">
          <cell r="B86">
            <v>178</v>
          </cell>
          <cell r="C86">
            <v>60</v>
          </cell>
        </row>
        <row r="87">
          <cell r="B87">
            <v>173</v>
          </cell>
          <cell r="C87">
            <v>66</v>
          </cell>
        </row>
        <row r="88">
          <cell r="B88">
            <v>179</v>
          </cell>
          <cell r="C88">
            <v>63</v>
          </cell>
        </row>
        <row r="89">
          <cell r="B89">
            <v>165</v>
          </cell>
          <cell r="C89">
            <v>62</v>
          </cell>
        </row>
        <row r="90">
          <cell r="B90">
            <v>171</v>
          </cell>
          <cell r="C90">
            <v>66</v>
          </cell>
        </row>
        <row r="91">
          <cell r="B91">
            <v>171</v>
          </cell>
          <cell r="C91">
            <v>63</v>
          </cell>
        </row>
        <row r="92">
          <cell r="B92">
            <v>170</v>
          </cell>
          <cell r="C92">
            <v>70</v>
          </cell>
        </row>
        <row r="93">
          <cell r="B93">
            <v>170</v>
          </cell>
          <cell r="C93">
            <v>67</v>
          </cell>
        </row>
        <row r="94">
          <cell r="B94">
            <v>165</v>
          </cell>
          <cell r="C94">
            <v>59</v>
          </cell>
        </row>
        <row r="95">
          <cell r="B95">
            <v>156</v>
          </cell>
          <cell r="C95">
            <v>53</v>
          </cell>
        </row>
        <row r="96">
          <cell r="B96">
            <v>164</v>
          </cell>
          <cell r="C96">
            <v>60</v>
          </cell>
        </row>
        <row r="97">
          <cell r="B97">
            <v>158</v>
          </cell>
          <cell r="C97">
            <v>57</v>
          </cell>
        </row>
        <row r="98">
          <cell r="B98">
            <v>165</v>
          </cell>
          <cell r="C98">
            <v>68</v>
          </cell>
        </row>
        <row r="99">
          <cell r="B99">
            <v>172</v>
          </cell>
          <cell r="C99">
            <v>67</v>
          </cell>
        </row>
        <row r="100">
          <cell r="B100">
            <v>178</v>
          </cell>
          <cell r="C100">
            <v>75</v>
          </cell>
        </row>
        <row r="101">
          <cell r="B101">
            <v>159</v>
          </cell>
          <cell r="C101">
            <v>61</v>
          </cell>
        </row>
        <row r="102">
          <cell r="B102">
            <v>167</v>
          </cell>
          <cell r="C102">
            <v>61</v>
          </cell>
        </row>
        <row r="103">
          <cell r="B103">
            <v>174</v>
          </cell>
          <cell r="C103">
            <v>66</v>
          </cell>
        </row>
        <row r="104">
          <cell r="B104">
            <v>175</v>
          </cell>
          <cell r="C104">
            <v>80</v>
          </cell>
        </row>
        <row r="105">
          <cell r="B105">
            <v>167</v>
          </cell>
          <cell r="C105">
            <v>64</v>
          </cell>
        </row>
        <row r="106">
          <cell r="B106">
            <v>180</v>
          </cell>
          <cell r="C106">
            <v>75</v>
          </cell>
        </row>
        <row r="107">
          <cell r="B107">
            <v>166</v>
          </cell>
          <cell r="C107">
            <v>63</v>
          </cell>
        </row>
        <row r="108">
          <cell r="B108">
            <v>176</v>
          </cell>
          <cell r="C108">
            <v>71</v>
          </cell>
        </row>
        <row r="109">
          <cell r="B109">
            <v>174</v>
          </cell>
          <cell r="C109">
            <v>69</v>
          </cell>
        </row>
        <row r="110">
          <cell r="B110">
            <v>169</v>
          </cell>
          <cell r="C110">
            <v>71</v>
          </cell>
        </row>
        <row r="111">
          <cell r="B111">
            <v>177</v>
          </cell>
          <cell r="C111">
            <v>78</v>
          </cell>
        </row>
        <row r="112">
          <cell r="B112">
            <v>167</v>
          </cell>
          <cell r="C112">
            <v>65</v>
          </cell>
        </row>
        <row r="113">
          <cell r="B113">
            <v>170</v>
          </cell>
          <cell r="C113">
            <v>69</v>
          </cell>
        </row>
        <row r="114">
          <cell r="B114">
            <v>158</v>
          </cell>
          <cell r="C114">
            <v>61</v>
          </cell>
        </row>
        <row r="115">
          <cell r="B115">
            <v>171</v>
          </cell>
          <cell r="C115">
            <v>62</v>
          </cell>
        </row>
        <row r="116">
          <cell r="B116">
            <v>176</v>
          </cell>
          <cell r="C116">
            <v>60</v>
          </cell>
        </row>
        <row r="117">
          <cell r="B117">
            <v>172</v>
          </cell>
          <cell r="C117">
            <v>64</v>
          </cell>
        </row>
        <row r="118">
          <cell r="B118">
            <v>165</v>
          </cell>
          <cell r="C118">
            <v>60</v>
          </cell>
        </row>
        <row r="119">
          <cell r="B119">
            <v>178</v>
          </cell>
          <cell r="C119">
            <v>71</v>
          </cell>
        </row>
        <row r="120">
          <cell r="B120">
            <v>157</v>
          </cell>
          <cell r="C120">
            <v>60</v>
          </cell>
        </row>
        <row r="121">
          <cell r="B121">
            <v>169</v>
          </cell>
          <cell r="C121">
            <v>65</v>
          </cell>
        </row>
        <row r="122">
          <cell r="B122">
            <v>169</v>
          </cell>
          <cell r="C122">
            <v>62</v>
          </cell>
        </row>
        <row r="123">
          <cell r="B123">
            <v>167</v>
          </cell>
          <cell r="C123">
            <v>63</v>
          </cell>
        </row>
        <row r="124">
          <cell r="B124">
            <v>177</v>
          </cell>
          <cell r="C124">
            <v>67</v>
          </cell>
        </row>
        <row r="125">
          <cell r="B125">
            <v>159</v>
          </cell>
          <cell r="C125">
            <v>61</v>
          </cell>
        </row>
        <row r="126">
          <cell r="B126">
            <v>172</v>
          </cell>
          <cell r="C126">
            <v>69</v>
          </cell>
        </row>
        <row r="127">
          <cell r="B127">
            <v>167</v>
          </cell>
          <cell r="C127">
            <v>65</v>
          </cell>
        </row>
        <row r="128">
          <cell r="B128">
            <v>164</v>
          </cell>
          <cell r="C128">
            <v>70</v>
          </cell>
        </row>
        <row r="129">
          <cell r="B129">
            <v>174</v>
          </cell>
          <cell r="C129">
            <v>74</v>
          </cell>
        </row>
        <row r="130">
          <cell r="B130">
            <v>176</v>
          </cell>
          <cell r="C130">
            <v>75</v>
          </cell>
        </row>
        <row r="131">
          <cell r="B131">
            <v>159</v>
          </cell>
          <cell r="C131">
            <v>48</v>
          </cell>
        </row>
        <row r="132">
          <cell r="B132">
            <v>169</v>
          </cell>
          <cell r="C132">
            <v>67</v>
          </cell>
        </row>
        <row r="133">
          <cell r="B133">
            <v>167</v>
          </cell>
          <cell r="C133">
            <v>57</v>
          </cell>
        </row>
        <row r="134">
          <cell r="B134">
            <v>157</v>
          </cell>
          <cell r="C134">
            <v>53</v>
          </cell>
        </row>
        <row r="135">
          <cell r="B135">
            <v>175</v>
          </cell>
          <cell r="C135">
            <v>66</v>
          </cell>
        </row>
        <row r="136">
          <cell r="B136">
            <v>165</v>
          </cell>
          <cell r="C136">
            <v>60</v>
          </cell>
        </row>
        <row r="137">
          <cell r="B137">
            <v>168</v>
          </cell>
          <cell r="C137">
            <v>62</v>
          </cell>
        </row>
        <row r="138">
          <cell r="B138">
            <v>172</v>
          </cell>
          <cell r="C138">
            <v>67</v>
          </cell>
        </row>
        <row r="139">
          <cell r="B139">
            <v>173</v>
          </cell>
          <cell r="C139">
            <v>66</v>
          </cell>
        </row>
        <row r="140">
          <cell r="B140">
            <v>167</v>
          </cell>
          <cell r="C140">
            <v>68</v>
          </cell>
        </row>
        <row r="141">
          <cell r="B141">
            <v>163</v>
          </cell>
          <cell r="C141">
            <v>54</v>
          </cell>
        </row>
        <row r="142">
          <cell r="B142">
            <v>166</v>
          </cell>
          <cell r="C142">
            <v>63</v>
          </cell>
        </row>
        <row r="143">
          <cell r="B143">
            <v>168</v>
          </cell>
          <cell r="C143">
            <v>67</v>
          </cell>
        </row>
        <row r="144">
          <cell r="B144">
            <v>169</v>
          </cell>
          <cell r="C144">
            <v>64</v>
          </cell>
        </row>
        <row r="145">
          <cell r="B145">
            <v>177</v>
          </cell>
          <cell r="C145">
            <v>67</v>
          </cell>
        </row>
        <row r="146">
          <cell r="B146">
            <v>170</v>
          </cell>
          <cell r="C146">
            <v>61</v>
          </cell>
        </row>
        <row r="147">
          <cell r="B147">
            <v>170</v>
          </cell>
          <cell r="C147">
            <v>69</v>
          </cell>
        </row>
        <row r="148">
          <cell r="B148">
            <v>176</v>
          </cell>
          <cell r="C148">
            <v>62</v>
          </cell>
        </row>
        <row r="149">
          <cell r="B149">
            <v>165</v>
          </cell>
          <cell r="C149">
            <v>72</v>
          </cell>
        </row>
        <row r="150">
          <cell r="B150">
            <v>182</v>
          </cell>
          <cell r="C150">
            <v>66</v>
          </cell>
        </row>
        <row r="151">
          <cell r="B151">
            <v>173</v>
          </cell>
          <cell r="C151">
            <v>65</v>
          </cell>
        </row>
        <row r="152">
          <cell r="B152">
            <v>172</v>
          </cell>
          <cell r="C152">
            <v>69</v>
          </cell>
        </row>
        <row r="153">
          <cell r="B153">
            <v>166</v>
          </cell>
          <cell r="C153">
            <v>61</v>
          </cell>
        </row>
        <row r="154">
          <cell r="B154">
            <v>163</v>
          </cell>
          <cell r="C154">
            <v>65</v>
          </cell>
        </row>
        <row r="155">
          <cell r="B155">
            <v>173</v>
          </cell>
          <cell r="C155">
            <v>66</v>
          </cell>
        </row>
        <row r="156">
          <cell r="B156">
            <v>161</v>
          </cell>
          <cell r="C156">
            <v>66</v>
          </cell>
        </row>
        <row r="157">
          <cell r="B157">
            <v>159</v>
          </cell>
          <cell r="C157">
            <v>55</v>
          </cell>
        </row>
        <row r="158">
          <cell r="B158">
            <v>166</v>
          </cell>
          <cell r="C158">
            <v>55</v>
          </cell>
        </row>
        <row r="159">
          <cell r="B159">
            <v>163</v>
          </cell>
          <cell r="C159">
            <v>64</v>
          </cell>
        </row>
        <row r="160">
          <cell r="B160">
            <v>163</v>
          </cell>
          <cell r="C160">
            <v>58</v>
          </cell>
        </row>
        <row r="161">
          <cell r="B161">
            <v>165</v>
          </cell>
          <cell r="C161">
            <v>59</v>
          </cell>
        </row>
        <row r="162">
          <cell r="B162">
            <v>170</v>
          </cell>
          <cell r="C162">
            <v>73</v>
          </cell>
        </row>
        <row r="163">
          <cell r="B163">
            <v>172</v>
          </cell>
          <cell r="C163">
            <v>67</v>
          </cell>
        </row>
        <row r="164">
          <cell r="B164">
            <v>161</v>
          </cell>
          <cell r="C164">
            <v>59</v>
          </cell>
        </row>
        <row r="165">
          <cell r="B165">
            <v>171</v>
          </cell>
          <cell r="C165">
            <v>67</v>
          </cell>
        </row>
        <row r="166">
          <cell r="B166">
            <v>166</v>
          </cell>
          <cell r="C166">
            <v>62</v>
          </cell>
        </row>
        <row r="167">
          <cell r="B167">
            <v>170</v>
          </cell>
          <cell r="C167">
            <v>66</v>
          </cell>
        </row>
        <row r="168">
          <cell r="B168">
            <v>183</v>
          </cell>
          <cell r="C168">
            <v>73</v>
          </cell>
        </row>
        <row r="169">
          <cell r="B169">
            <v>173</v>
          </cell>
          <cell r="C169">
            <v>66</v>
          </cell>
        </row>
        <row r="170">
          <cell r="B170">
            <v>167</v>
          </cell>
          <cell r="C170">
            <v>60</v>
          </cell>
        </row>
        <row r="171">
          <cell r="B171">
            <v>167</v>
          </cell>
          <cell r="C171">
            <v>63</v>
          </cell>
        </row>
        <row r="172">
          <cell r="B172">
            <v>162</v>
          </cell>
          <cell r="C172">
            <v>65</v>
          </cell>
        </row>
        <row r="173">
          <cell r="B173">
            <v>156</v>
          </cell>
          <cell r="C173">
            <v>53</v>
          </cell>
        </row>
        <row r="174">
          <cell r="B174">
            <v>167</v>
          </cell>
          <cell r="C174">
            <v>68</v>
          </cell>
        </row>
        <row r="175">
          <cell r="B175">
            <v>160</v>
          </cell>
          <cell r="C175">
            <v>61</v>
          </cell>
        </row>
        <row r="176">
          <cell r="B176">
            <v>170</v>
          </cell>
          <cell r="C176">
            <v>68</v>
          </cell>
        </row>
        <row r="177">
          <cell r="B177">
            <v>171</v>
          </cell>
          <cell r="C177">
            <v>64</v>
          </cell>
        </row>
        <row r="178">
          <cell r="B178">
            <v>174</v>
          </cell>
          <cell r="C178">
            <v>70</v>
          </cell>
        </row>
        <row r="179">
          <cell r="B179">
            <v>167</v>
          </cell>
          <cell r="C179">
            <v>65</v>
          </cell>
        </row>
        <row r="180">
          <cell r="B180">
            <v>170</v>
          </cell>
          <cell r="C180">
            <v>58</v>
          </cell>
        </row>
        <row r="181">
          <cell r="B181">
            <v>170</v>
          </cell>
          <cell r="C181">
            <v>65</v>
          </cell>
        </row>
        <row r="182">
          <cell r="B182">
            <v>172</v>
          </cell>
          <cell r="C182">
            <v>67</v>
          </cell>
        </row>
        <row r="183">
          <cell r="B183">
            <v>166</v>
          </cell>
          <cell r="C183">
            <v>62</v>
          </cell>
        </row>
        <row r="184">
          <cell r="B184">
            <v>164</v>
          </cell>
          <cell r="C184">
            <v>60</v>
          </cell>
        </row>
        <row r="185">
          <cell r="B185">
            <v>172</v>
          </cell>
          <cell r="C185">
            <v>73</v>
          </cell>
        </row>
        <row r="186">
          <cell r="B186">
            <v>167</v>
          </cell>
          <cell r="C186">
            <v>57</v>
          </cell>
        </row>
        <row r="187">
          <cell r="B187">
            <v>155</v>
          </cell>
          <cell r="C187">
            <v>61</v>
          </cell>
        </row>
        <row r="188">
          <cell r="B188">
            <v>159</v>
          </cell>
          <cell r="C188">
            <v>55</v>
          </cell>
        </row>
        <row r="189">
          <cell r="B189">
            <v>173</v>
          </cell>
          <cell r="C189">
            <v>71</v>
          </cell>
        </row>
        <row r="190">
          <cell r="B190">
            <v>170</v>
          </cell>
          <cell r="C190">
            <v>76</v>
          </cell>
        </row>
        <row r="191">
          <cell r="B191">
            <v>165</v>
          </cell>
          <cell r="C191">
            <v>63</v>
          </cell>
        </row>
        <row r="192">
          <cell r="B192">
            <v>159</v>
          </cell>
          <cell r="C192">
            <v>55</v>
          </cell>
        </row>
        <row r="193">
          <cell r="B193">
            <v>162</v>
          </cell>
          <cell r="C193">
            <v>66</v>
          </cell>
        </row>
        <row r="194">
          <cell r="B194">
            <v>165</v>
          </cell>
          <cell r="C194">
            <v>61</v>
          </cell>
        </row>
        <row r="195">
          <cell r="B195">
            <v>173</v>
          </cell>
          <cell r="C195">
            <v>64</v>
          </cell>
        </row>
        <row r="196">
          <cell r="B196">
            <v>173</v>
          </cell>
          <cell r="C196">
            <v>63</v>
          </cell>
        </row>
        <row r="197">
          <cell r="B197">
            <v>162</v>
          </cell>
          <cell r="C197">
            <v>66</v>
          </cell>
        </row>
        <row r="198">
          <cell r="B198">
            <v>169</v>
          </cell>
          <cell r="C198">
            <v>58</v>
          </cell>
        </row>
        <row r="199">
          <cell r="B199">
            <v>171</v>
          </cell>
          <cell r="C199">
            <v>64</v>
          </cell>
        </row>
        <row r="200">
          <cell r="B200">
            <v>181</v>
          </cell>
          <cell r="C200">
            <v>68</v>
          </cell>
        </row>
        <row r="201">
          <cell r="B201">
            <v>162</v>
          </cell>
          <cell r="C201">
            <v>53</v>
          </cell>
        </row>
      </sheetData>
      <sheetData sheetId="1">
        <row r="18">
          <cell r="D18">
            <v>158.30000000000001</v>
          </cell>
        </row>
        <row r="19">
          <cell r="D19">
            <v>161.60000000000002</v>
          </cell>
        </row>
        <row r="20">
          <cell r="D20">
            <v>164.90000000000003</v>
          </cell>
        </row>
        <row r="21">
          <cell r="D21">
            <v>168.20000000000005</v>
          </cell>
        </row>
        <row r="22">
          <cell r="D22">
            <v>171.50000000000006</v>
          </cell>
        </row>
        <row r="23">
          <cell r="D23">
            <v>174.80000000000007</v>
          </cell>
        </row>
        <row r="24">
          <cell r="D24">
            <v>178.10000000000008</v>
          </cell>
        </row>
        <row r="25">
          <cell r="D25">
            <v>181.40000000000009</v>
          </cell>
        </row>
        <row r="26">
          <cell r="D26">
            <v>184.7000000000001</v>
          </cell>
        </row>
        <row r="27">
          <cell r="D27">
            <v>188.00000000000011</v>
          </cell>
        </row>
      </sheetData>
      <sheetData sheetId="2">
        <row r="6">
          <cell r="D6">
            <v>3.5000000000000003E-2</v>
          </cell>
        </row>
        <row r="7">
          <cell r="D7">
            <v>0.08</v>
          </cell>
        </row>
        <row r="8">
          <cell r="D8">
            <v>0.1</v>
          </cell>
        </row>
        <row r="9">
          <cell r="D9">
            <v>0.24</v>
          </cell>
        </row>
        <row r="10">
          <cell r="D10">
            <v>0.2</v>
          </cell>
        </row>
        <row r="11">
          <cell r="D11">
            <v>0.17</v>
          </cell>
        </row>
        <row r="12">
          <cell r="D12">
            <v>0.12</v>
          </cell>
        </row>
        <row r="13">
          <cell r="D13">
            <v>2.5000000000000001E-2</v>
          </cell>
        </row>
        <row r="14">
          <cell r="D14">
            <v>0.02</v>
          </cell>
        </row>
        <row r="15">
          <cell r="D15">
            <v>0.01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B7">
            <v>169.17350000000002</v>
          </cell>
          <cell r="C7">
            <v>64.740000000000009</v>
          </cell>
        </row>
        <row r="8">
          <cell r="B8">
            <v>155</v>
          </cell>
          <cell r="C8">
            <v>55.825901488878827</v>
          </cell>
          <cell r="G8">
            <v>156.65</v>
          </cell>
          <cell r="H8">
            <v>57</v>
          </cell>
        </row>
        <row r="9">
          <cell r="B9">
            <v>188</v>
          </cell>
          <cell r="C9">
            <v>76.580496392536958</v>
          </cell>
          <cell r="G9">
            <v>159.95000000000002</v>
          </cell>
          <cell r="H9">
            <v>57</v>
          </cell>
        </row>
        <row r="10">
          <cell r="G10">
            <v>163.25000000000003</v>
          </cell>
          <cell r="H10">
            <v>62.219999999999992</v>
          </cell>
        </row>
        <row r="11">
          <cell r="G11">
            <v>166.55000000000004</v>
          </cell>
          <cell r="H11">
            <v>62.175000000000011</v>
          </cell>
        </row>
        <row r="12">
          <cell r="G12">
            <v>169.85000000000005</v>
          </cell>
          <cell r="H12">
            <v>66.45</v>
          </cell>
        </row>
        <row r="13">
          <cell r="G13">
            <v>173.15000000000006</v>
          </cell>
          <cell r="H13">
            <v>68.752941176470586</v>
          </cell>
        </row>
        <row r="14">
          <cell r="G14">
            <v>176.45000000000007</v>
          </cell>
          <cell r="H14">
            <v>68.099999999999994</v>
          </cell>
        </row>
        <row r="15">
          <cell r="G15">
            <v>179.75000000000009</v>
          </cell>
          <cell r="H15">
            <v>69.239999999999995</v>
          </cell>
        </row>
        <row r="16">
          <cell r="G16">
            <v>183.0500000000001</v>
          </cell>
          <cell r="H16">
            <v>68.699999999999989</v>
          </cell>
        </row>
        <row r="17">
          <cell r="G17">
            <v>186.35000000000011</v>
          </cell>
          <cell r="H17">
            <v>78.59999999999998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8E48-DD0E-B947-802B-CB2562335A0D}">
  <sheetPr codeName="Лист1"/>
  <dimension ref="A1:E201"/>
  <sheetViews>
    <sheetView topLeftCell="A216" zoomScale="125" zoomScaleNormal="150" workbookViewId="0">
      <selection activeCell="C102" sqref="C102"/>
    </sheetView>
  </sheetViews>
  <sheetFormatPr baseColWidth="10" defaultRowHeight="16"/>
  <cols>
    <col min="4" max="4" width="21.83203125" customWidth="1"/>
    <col min="5" max="5" width="21.5" customWidth="1"/>
  </cols>
  <sheetData>
    <row r="1" spans="1:5">
      <c r="A1" s="9" t="s">
        <v>0</v>
      </c>
      <c r="B1" s="3" t="s">
        <v>3</v>
      </c>
      <c r="C1" s="5" t="s">
        <v>4</v>
      </c>
      <c r="D1" s="3" t="s">
        <v>5</v>
      </c>
      <c r="E1" s="5" t="s">
        <v>6</v>
      </c>
    </row>
    <row r="2" spans="1:5">
      <c r="A2" s="10">
        <v>1</v>
      </c>
      <c r="B2" s="4">
        <v>178</v>
      </c>
      <c r="C2" s="6">
        <v>73</v>
      </c>
      <c r="D2" s="7" cm="1">
        <f t="array" ref="D2:D201">_xlfn._xlws.SORT(B2:B201)</f>
        <v>156</v>
      </c>
      <c r="E2" s="8" cm="1">
        <f t="array" ref="E2:E201">_xlfn._xlws.SORT(C2:C201)</f>
        <v>50</v>
      </c>
    </row>
    <row r="3" spans="1:5">
      <c r="A3" s="10">
        <v>2</v>
      </c>
      <c r="B3" s="4">
        <v>163</v>
      </c>
      <c r="C3" s="6">
        <v>63</v>
      </c>
      <c r="D3" s="7">
        <v>156</v>
      </c>
      <c r="E3" s="8">
        <v>50</v>
      </c>
    </row>
    <row r="4" spans="1:5">
      <c r="A4" s="10">
        <v>3</v>
      </c>
      <c r="B4" s="4">
        <v>170</v>
      </c>
      <c r="C4" s="6">
        <v>75</v>
      </c>
      <c r="D4" s="7">
        <v>156</v>
      </c>
      <c r="E4" s="8">
        <v>51</v>
      </c>
    </row>
    <row r="5" spans="1:5">
      <c r="A5" s="10">
        <v>4</v>
      </c>
      <c r="B5" s="4">
        <v>164</v>
      </c>
      <c r="C5" s="6">
        <v>60</v>
      </c>
      <c r="D5" s="7">
        <v>156</v>
      </c>
      <c r="E5" s="8">
        <v>52</v>
      </c>
    </row>
    <row r="6" spans="1:5">
      <c r="A6" s="10">
        <v>5</v>
      </c>
      <c r="B6" s="4">
        <v>164</v>
      </c>
      <c r="C6" s="6">
        <v>56</v>
      </c>
      <c r="D6" s="7">
        <v>157</v>
      </c>
      <c r="E6" s="8">
        <v>52</v>
      </c>
    </row>
    <row r="7" spans="1:5">
      <c r="A7" s="10">
        <v>6</v>
      </c>
      <c r="B7" s="4">
        <v>168</v>
      </c>
      <c r="C7" s="6">
        <v>59</v>
      </c>
      <c r="D7" s="7">
        <v>158</v>
      </c>
      <c r="E7" s="8">
        <v>53</v>
      </c>
    </row>
    <row r="8" spans="1:5">
      <c r="A8" s="10">
        <v>7</v>
      </c>
      <c r="B8" s="4">
        <v>167</v>
      </c>
      <c r="C8" s="6">
        <v>61</v>
      </c>
      <c r="D8" s="7">
        <v>158</v>
      </c>
      <c r="E8" s="8">
        <v>54</v>
      </c>
    </row>
    <row r="9" spans="1:5">
      <c r="A9" s="10">
        <v>8</v>
      </c>
      <c r="B9" s="4">
        <v>166</v>
      </c>
      <c r="C9" s="6">
        <v>62</v>
      </c>
      <c r="D9" s="7">
        <v>159</v>
      </c>
      <c r="E9" s="8">
        <v>55</v>
      </c>
    </row>
    <row r="10" spans="1:5">
      <c r="A10" s="10">
        <v>9</v>
      </c>
      <c r="B10" s="4">
        <v>162</v>
      </c>
      <c r="C10" s="6">
        <v>65</v>
      </c>
      <c r="D10" s="7">
        <v>159</v>
      </c>
      <c r="E10" s="8">
        <v>55</v>
      </c>
    </row>
    <row r="11" spans="1:5">
      <c r="A11" s="10">
        <v>10</v>
      </c>
      <c r="B11" s="4">
        <v>171</v>
      </c>
      <c r="C11" s="6">
        <v>60</v>
      </c>
      <c r="D11" s="7">
        <v>160</v>
      </c>
      <c r="E11" s="8">
        <v>55</v>
      </c>
    </row>
    <row r="12" spans="1:5">
      <c r="A12" s="10">
        <v>11</v>
      </c>
      <c r="B12" s="4">
        <v>168</v>
      </c>
      <c r="C12" s="6">
        <v>62</v>
      </c>
      <c r="D12" s="7">
        <v>160</v>
      </c>
      <c r="E12" s="8">
        <v>55</v>
      </c>
    </row>
    <row r="13" spans="1:5">
      <c r="A13" s="10">
        <v>12</v>
      </c>
      <c r="B13" s="4">
        <v>173</v>
      </c>
      <c r="C13" s="6">
        <v>70</v>
      </c>
      <c r="D13" s="7">
        <v>161</v>
      </c>
      <c r="E13" s="8">
        <v>55</v>
      </c>
    </row>
    <row r="14" spans="1:5">
      <c r="A14" s="10">
        <v>13</v>
      </c>
      <c r="B14" s="4">
        <v>167</v>
      </c>
      <c r="C14" s="6">
        <v>61</v>
      </c>
      <c r="D14" s="7">
        <v>161</v>
      </c>
      <c r="E14" s="8">
        <v>55</v>
      </c>
    </row>
    <row r="15" spans="1:5">
      <c r="A15" s="10">
        <v>14</v>
      </c>
      <c r="B15" s="4">
        <v>170</v>
      </c>
      <c r="C15" s="6">
        <v>74</v>
      </c>
      <c r="D15" s="7">
        <v>161</v>
      </c>
      <c r="E15" s="8">
        <v>56</v>
      </c>
    </row>
    <row r="16" spans="1:5">
      <c r="A16" s="10">
        <v>15</v>
      </c>
      <c r="B16" s="4">
        <v>171</v>
      </c>
      <c r="C16" s="6">
        <v>60</v>
      </c>
      <c r="D16" s="7">
        <v>161</v>
      </c>
      <c r="E16" s="8">
        <v>56</v>
      </c>
    </row>
    <row r="17" spans="1:5">
      <c r="A17" s="10">
        <v>16</v>
      </c>
      <c r="B17" s="4">
        <v>173</v>
      </c>
      <c r="C17" s="6">
        <v>66</v>
      </c>
      <c r="D17" s="7">
        <v>161</v>
      </c>
      <c r="E17" s="8">
        <v>57</v>
      </c>
    </row>
    <row r="18" spans="1:5">
      <c r="A18" s="10">
        <v>17</v>
      </c>
      <c r="B18" s="4">
        <v>187</v>
      </c>
      <c r="C18" s="6">
        <v>84</v>
      </c>
      <c r="D18" s="7">
        <v>161</v>
      </c>
      <c r="E18" s="8">
        <v>57</v>
      </c>
    </row>
    <row r="19" spans="1:5">
      <c r="A19" s="10">
        <v>18</v>
      </c>
      <c r="B19" s="4">
        <v>166</v>
      </c>
      <c r="C19" s="6">
        <v>58</v>
      </c>
      <c r="D19" s="7">
        <v>162</v>
      </c>
      <c r="E19" s="8">
        <v>57</v>
      </c>
    </row>
    <row r="20" spans="1:5">
      <c r="A20" s="10">
        <v>19</v>
      </c>
      <c r="B20" s="4">
        <v>170</v>
      </c>
      <c r="C20" s="6">
        <v>75</v>
      </c>
      <c r="D20" s="7">
        <v>162</v>
      </c>
      <c r="E20" s="8">
        <v>57</v>
      </c>
    </row>
    <row r="21" spans="1:5">
      <c r="A21" s="10">
        <v>20</v>
      </c>
      <c r="B21" s="4">
        <v>178</v>
      </c>
      <c r="C21" s="6">
        <v>69</v>
      </c>
      <c r="D21" s="7">
        <v>162</v>
      </c>
      <c r="E21" s="8">
        <v>57</v>
      </c>
    </row>
    <row r="22" spans="1:5">
      <c r="A22" s="10">
        <v>21</v>
      </c>
      <c r="B22" s="4">
        <v>173</v>
      </c>
      <c r="C22" s="6">
        <v>64</v>
      </c>
      <c r="D22" s="7">
        <v>163</v>
      </c>
      <c r="E22" s="8">
        <v>58</v>
      </c>
    </row>
    <row r="23" spans="1:5">
      <c r="A23" s="10">
        <v>22</v>
      </c>
      <c r="B23" s="4">
        <v>179</v>
      </c>
      <c r="C23" s="6">
        <v>71</v>
      </c>
      <c r="D23" s="7">
        <v>163</v>
      </c>
      <c r="E23" s="8">
        <v>58</v>
      </c>
    </row>
    <row r="24" spans="1:5">
      <c r="A24" s="10">
        <v>23</v>
      </c>
      <c r="B24" s="4">
        <v>171</v>
      </c>
      <c r="C24" s="6">
        <v>64</v>
      </c>
      <c r="D24" s="7">
        <v>163</v>
      </c>
      <c r="E24" s="8">
        <v>59</v>
      </c>
    </row>
    <row r="25" spans="1:5">
      <c r="A25" s="10">
        <v>24</v>
      </c>
      <c r="B25" s="4">
        <v>174</v>
      </c>
      <c r="C25" s="6">
        <v>74</v>
      </c>
      <c r="D25" s="7">
        <v>163</v>
      </c>
      <c r="E25" s="8">
        <v>59</v>
      </c>
    </row>
    <row r="26" spans="1:5">
      <c r="A26" s="10">
        <v>25</v>
      </c>
      <c r="B26" s="4">
        <v>164</v>
      </c>
      <c r="C26" s="6">
        <v>70</v>
      </c>
      <c r="D26" s="7">
        <v>163</v>
      </c>
      <c r="E26" s="8">
        <v>59</v>
      </c>
    </row>
    <row r="27" spans="1:5">
      <c r="A27" s="10">
        <v>26</v>
      </c>
      <c r="B27" s="4">
        <v>173</v>
      </c>
      <c r="C27" s="6">
        <v>69</v>
      </c>
      <c r="D27" s="7">
        <v>163</v>
      </c>
      <c r="E27" s="8">
        <v>59</v>
      </c>
    </row>
    <row r="28" spans="1:5">
      <c r="A28" s="10">
        <v>27</v>
      </c>
      <c r="B28" s="4">
        <v>168</v>
      </c>
      <c r="C28" s="6">
        <v>64</v>
      </c>
      <c r="D28" s="7">
        <v>163</v>
      </c>
      <c r="E28" s="8">
        <v>59</v>
      </c>
    </row>
    <row r="29" spans="1:5">
      <c r="A29" s="10">
        <v>28</v>
      </c>
      <c r="B29" s="4">
        <v>166</v>
      </c>
      <c r="C29" s="6">
        <v>55</v>
      </c>
      <c r="D29" s="7">
        <v>163</v>
      </c>
      <c r="E29" s="8">
        <v>59</v>
      </c>
    </row>
    <row r="30" spans="1:5">
      <c r="A30" s="10">
        <v>29</v>
      </c>
      <c r="B30" s="4">
        <v>177</v>
      </c>
      <c r="C30" s="6">
        <v>67</v>
      </c>
      <c r="D30" s="7">
        <v>164</v>
      </c>
      <c r="E30" s="8">
        <v>59</v>
      </c>
    </row>
    <row r="31" spans="1:5">
      <c r="A31" s="10">
        <v>30</v>
      </c>
      <c r="B31" s="4">
        <v>170</v>
      </c>
      <c r="C31" s="6">
        <v>61</v>
      </c>
      <c r="D31" s="7">
        <v>164</v>
      </c>
      <c r="E31" s="8">
        <v>59</v>
      </c>
    </row>
    <row r="32" spans="1:5">
      <c r="A32" s="10">
        <v>31</v>
      </c>
      <c r="B32" s="4">
        <v>167</v>
      </c>
      <c r="C32" s="6">
        <v>63</v>
      </c>
      <c r="D32" s="7">
        <v>164</v>
      </c>
      <c r="E32" s="8">
        <v>59</v>
      </c>
    </row>
    <row r="33" spans="1:5">
      <c r="A33" s="10">
        <v>32</v>
      </c>
      <c r="B33" s="4">
        <v>174</v>
      </c>
      <c r="C33" s="6">
        <v>75</v>
      </c>
      <c r="D33" s="7">
        <v>164</v>
      </c>
      <c r="E33" s="8">
        <v>60</v>
      </c>
    </row>
    <row r="34" spans="1:5">
      <c r="A34" s="10">
        <v>33</v>
      </c>
      <c r="B34" s="4">
        <v>164</v>
      </c>
      <c r="C34" s="6">
        <v>59</v>
      </c>
      <c r="D34" s="7">
        <v>164</v>
      </c>
      <c r="E34" s="8">
        <v>60</v>
      </c>
    </row>
    <row r="35" spans="1:5">
      <c r="A35" s="10">
        <v>34</v>
      </c>
      <c r="B35" s="4">
        <v>164</v>
      </c>
      <c r="C35" s="6">
        <v>62</v>
      </c>
      <c r="D35" s="7">
        <v>164</v>
      </c>
      <c r="E35" s="8">
        <v>60</v>
      </c>
    </row>
    <row r="36" spans="1:5">
      <c r="A36" s="10">
        <v>35</v>
      </c>
      <c r="B36" s="4">
        <v>178</v>
      </c>
      <c r="C36" s="6">
        <v>60</v>
      </c>
      <c r="D36" s="7">
        <v>164</v>
      </c>
      <c r="E36" s="8">
        <v>60</v>
      </c>
    </row>
    <row r="37" spans="1:5">
      <c r="A37" s="10">
        <v>36</v>
      </c>
      <c r="B37" s="4">
        <v>173</v>
      </c>
      <c r="C37" s="6">
        <v>66</v>
      </c>
      <c r="D37" s="7">
        <v>164</v>
      </c>
      <c r="E37" s="8">
        <v>60</v>
      </c>
    </row>
    <row r="38" spans="1:5">
      <c r="A38" s="10">
        <v>37</v>
      </c>
      <c r="B38" s="4">
        <v>179</v>
      </c>
      <c r="C38" s="6">
        <v>63</v>
      </c>
      <c r="D38" s="7">
        <v>164</v>
      </c>
      <c r="E38" s="8">
        <v>60</v>
      </c>
    </row>
    <row r="39" spans="1:5">
      <c r="A39" s="10">
        <v>38</v>
      </c>
      <c r="B39" s="4">
        <v>165</v>
      </c>
      <c r="C39" s="6">
        <v>62</v>
      </c>
      <c r="D39" s="7">
        <v>164</v>
      </c>
      <c r="E39" s="8">
        <v>60</v>
      </c>
    </row>
    <row r="40" spans="1:5">
      <c r="A40" s="10">
        <v>39</v>
      </c>
      <c r="B40" s="4">
        <v>171</v>
      </c>
      <c r="C40" s="6">
        <v>66</v>
      </c>
      <c r="D40" s="7">
        <v>164</v>
      </c>
      <c r="E40" s="8">
        <v>60</v>
      </c>
    </row>
    <row r="41" spans="1:5">
      <c r="A41" s="10">
        <v>40</v>
      </c>
      <c r="B41" s="4">
        <v>171</v>
      </c>
      <c r="C41" s="6">
        <v>63</v>
      </c>
      <c r="D41" s="7">
        <v>164</v>
      </c>
      <c r="E41" s="8">
        <v>60</v>
      </c>
    </row>
    <row r="42" spans="1:5">
      <c r="A42" s="10">
        <v>41</v>
      </c>
      <c r="B42" s="4">
        <v>170</v>
      </c>
      <c r="C42" s="6">
        <v>70</v>
      </c>
      <c r="D42" s="7">
        <v>165</v>
      </c>
      <c r="E42" s="8">
        <v>60</v>
      </c>
    </row>
    <row r="43" spans="1:5">
      <c r="A43" s="10">
        <v>42</v>
      </c>
      <c r="B43" s="4">
        <v>170</v>
      </c>
      <c r="C43" s="6">
        <v>67</v>
      </c>
      <c r="D43" s="7">
        <v>165</v>
      </c>
      <c r="E43" s="8">
        <v>60</v>
      </c>
    </row>
    <row r="44" spans="1:5">
      <c r="A44" s="10">
        <v>43</v>
      </c>
      <c r="B44" s="4">
        <v>165</v>
      </c>
      <c r="C44" s="6">
        <v>59</v>
      </c>
      <c r="D44" s="7">
        <v>165</v>
      </c>
      <c r="E44" s="8">
        <v>61</v>
      </c>
    </row>
    <row r="45" spans="1:5">
      <c r="A45" s="10">
        <v>44</v>
      </c>
      <c r="B45" s="4">
        <v>156</v>
      </c>
      <c r="C45" s="6">
        <v>53</v>
      </c>
      <c r="D45" s="7">
        <v>165</v>
      </c>
      <c r="E45" s="8">
        <v>61</v>
      </c>
    </row>
    <row r="46" spans="1:5">
      <c r="A46" s="10">
        <v>45</v>
      </c>
      <c r="B46" s="4">
        <v>164</v>
      </c>
      <c r="C46" s="6">
        <v>60</v>
      </c>
      <c r="D46" s="7">
        <v>165</v>
      </c>
      <c r="E46" s="8">
        <v>61</v>
      </c>
    </row>
    <row r="47" spans="1:5">
      <c r="A47" s="10">
        <v>46</v>
      </c>
      <c r="B47" s="4">
        <v>158</v>
      </c>
      <c r="C47" s="6">
        <v>57</v>
      </c>
      <c r="D47" s="7">
        <v>165</v>
      </c>
      <c r="E47" s="8">
        <v>61</v>
      </c>
    </row>
    <row r="48" spans="1:5">
      <c r="A48" s="10">
        <v>47</v>
      </c>
      <c r="B48" s="4">
        <v>165</v>
      </c>
      <c r="C48" s="6">
        <v>68</v>
      </c>
      <c r="D48" s="7">
        <v>165</v>
      </c>
      <c r="E48" s="8">
        <v>61</v>
      </c>
    </row>
    <row r="49" spans="1:5">
      <c r="A49" s="10">
        <v>48</v>
      </c>
      <c r="B49" s="4">
        <v>172</v>
      </c>
      <c r="C49" s="6">
        <v>67</v>
      </c>
      <c r="D49" s="7">
        <v>165</v>
      </c>
      <c r="E49" s="8">
        <v>61</v>
      </c>
    </row>
    <row r="50" spans="1:5">
      <c r="A50" s="10">
        <v>49</v>
      </c>
      <c r="B50" s="4">
        <v>178</v>
      </c>
      <c r="C50" s="6">
        <v>75</v>
      </c>
      <c r="D50" s="7">
        <v>166</v>
      </c>
      <c r="E50" s="8">
        <v>61</v>
      </c>
    </row>
    <row r="51" spans="1:5">
      <c r="A51" s="10">
        <v>50</v>
      </c>
      <c r="B51" s="4">
        <v>159</v>
      </c>
      <c r="C51" s="6">
        <v>61</v>
      </c>
      <c r="D51" s="7">
        <v>166</v>
      </c>
      <c r="E51" s="8">
        <v>61</v>
      </c>
    </row>
    <row r="52" spans="1:5">
      <c r="A52" s="10">
        <v>51</v>
      </c>
      <c r="B52" s="4">
        <v>182</v>
      </c>
      <c r="C52" s="6">
        <v>66</v>
      </c>
      <c r="D52" s="7">
        <v>166</v>
      </c>
      <c r="E52" s="8">
        <v>61</v>
      </c>
    </row>
    <row r="53" spans="1:5">
      <c r="A53" s="10">
        <v>52</v>
      </c>
      <c r="B53" s="4">
        <v>170</v>
      </c>
      <c r="C53" s="6">
        <v>63</v>
      </c>
      <c r="D53" s="7">
        <v>166</v>
      </c>
      <c r="E53" s="8">
        <v>61</v>
      </c>
    </row>
    <row r="54" spans="1:5">
      <c r="A54" s="10">
        <v>53</v>
      </c>
      <c r="B54" s="4">
        <v>168</v>
      </c>
      <c r="C54" s="6">
        <v>65</v>
      </c>
      <c r="D54" s="7">
        <v>166</v>
      </c>
      <c r="E54" s="8">
        <v>61</v>
      </c>
    </row>
    <row r="55" spans="1:5">
      <c r="A55" s="10">
        <v>54</v>
      </c>
      <c r="B55" s="4">
        <v>171</v>
      </c>
      <c r="C55" s="6">
        <v>66</v>
      </c>
      <c r="D55" s="7">
        <v>166</v>
      </c>
      <c r="E55" s="8">
        <v>61</v>
      </c>
    </row>
    <row r="56" spans="1:5">
      <c r="A56" s="10">
        <v>55</v>
      </c>
      <c r="B56" s="4">
        <v>172</v>
      </c>
      <c r="C56" s="6">
        <v>67</v>
      </c>
      <c r="D56" s="7">
        <v>166</v>
      </c>
      <c r="E56" s="8">
        <v>62</v>
      </c>
    </row>
    <row r="57" spans="1:5">
      <c r="A57" s="10">
        <v>56</v>
      </c>
      <c r="B57" s="4">
        <v>169</v>
      </c>
      <c r="C57" s="6">
        <v>64</v>
      </c>
      <c r="D57" s="7">
        <v>166</v>
      </c>
      <c r="E57" s="8">
        <v>62</v>
      </c>
    </row>
    <row r="58" spans="1:5">
      <c r="A58" s="10">
        <v>57</v>
      </c>
      <c r="B58" s="4">
        <v>167</v>
      </c>
      <c r="C58" s="6">
        <v>59</v>
      </c>
      <c r="D58" s="7">
        <v>166</v>
      </c>
      <c r="E58" s="8">
        <v>62</v>
      </c>
    </row>
    <row r="59" spans="1:5">
      <c r="A59" s="10">
        <v>58</v>
      </c>
      <c r="B59" s="4">
        <v>170</v>
      </c>
      <c r="C59" s="6">
        <v>62</v>
      </c>
      <c r="D59" s="7">
        <v>166</v>
      </c>
      <c r="E59" s="8">
        <v>62</v>
      </c>
    </row>
    <row r="60" spans="1:5">
      <c r="A60" s="10">
        <v>59</v>
      </c>
      <c r="B60" s="4">
        <v>170</v>
      </c>
      <c r="C60" s="6">
        <v>69</v>
      </c>
      <c r="D60" s="7">
        <v>167</v>
      </c>
      <c r="E60" s="8">
        <v>62</v>
      </c>
    </row>
    <row r="61" spans="1:5">
      <c r="A61" s="10">
        <v>60</v>
      </c>
      <c r="B61" s="4">
        <v>168</v>
      </c>
      <c r="C61" s="6">
        <v>65</v>
      </c>
      <c r="D61" s="7">
        <v>167</v>
      </c>
      <c r="E61" s="8">
        <v>62</v>
      </c>
    </row>
    <row r="62" spans="1:5">
      <c r="A62" s="10">
        <v>61</v>
      </c>
      <c r="B62" s="4">
        <v>174</v>
      </c>
      <c r="C62" s="6">
        <v>69</v>
      </c>
      <c r="D62" s="7">
        <v>167</v>
      </c>
      <c r="E62" s="8">
        <v>62</v>
      </c>
    </row>
    <row r="63" spans="1:5">
      <c r="A63" s="10">
        <v>62</v>
      </c>
      <c r="B63" s="4">
        <v>167</v>
      </c>
      <c r="C63" s="6">
        <v>61</v>
      </c>
      <c r="D63" s="7">
        <v>167</v>
      </c>
      <c r="E63" s="8">
        <v>62</v>
      </c>
    </row>
    <row r="64" spans="1:5">
      <c r="A64" s="10">
        <v>63</v>
      </c>
      <c r="B64" s="4">
        <v>165</v>
      </c>
      <c r="C64" s="6">
        <v>61</v>
      </c>
      <c r="D64" s="7">
        <v>167</v>
      </c>
      <c r="E64" s="8">
        <v>62</v>
      </c>
    </row>
    <row r="65" spans="1:5">
      <c r="A65" s="10">
        <v>64</v>
      </c>
      <c r="B65" s="4">
        <v>171</v>
      </c>
      <c r="C65" s="6">
        <v>66</v>
      </c>
      <c r="D65" s="7">
        <v>167</v>
      </c>
      <c r="E65" s="8">
        <v>62</v>
      </c>
    </row>
    <row r="66" spans="1:5">
      <c r="A66" s="10">
        <v>65</v>
      </c>
      <c r="B66" s="4">
        <v>170</v>
      </c>
      <c r="C66" s="6">
        <v>69</v>
      </c>
      <c r="D66" s="7">
        <v>167</v>
      </c>
      <c r="E66" s="8">
        <v>62</v>
      </c>
    </row>
    <row r="67" spans="1:5">
      <c r="A67" s="10">
        <v>66</v>
      </c>
      <c r="B67" s="4">
        <v>169</v>
      </c>
      <c r="C67" s="6">
        <v>66</v>
      </c>
      <c r="D67" s="7">
        <v>167</v>
      </c>
      <c r="E67" s="8">
        <v>63</v>
      </c>
    </row>
    <row r="68" spans="1:5">
      <c r="A68" s="10">
        <v>67</v>
      </c>
      <c r="B68" s="4">
        <v>171</v>
      </c>
      <c r="C68" s="6">
        <v>76</v>
      </c>
      <c r="D68" s="7">
        <v>167</v>
      </c>
      <c r="E68" s="8">
        <v>63</v>
      </c>
    </row>
    <row r="69" spans="1:5">
      <c r="A69" s="10">
        <v>68</v>
      </c>
      <c r="B69" s="4">
        <v>161</v>
      </c>
      <c r="C69" s="6">
        <v>51</v>
      </c>
      <c r="D69" s="7">
        <v>167</v>
      </c>
      <c r="E69" s="8">
        <v>63</v>
      </c>
    </row>
    <row r="70" spans="1:5">
      <c r="A70" s="10">
        <v>69</v>
      </c>
      <c r="B70" s="4">
        <v>167</v>
      </c>
      <c r="C70" s="6">
        <v>60</v>
      </c>
      <c r="D70" s="7">
        <v>167</v>
      </c>
      <c r="E70" s="8">
        <v>63</v>
      </c>
    </row>
    <row r="71" spans="1:5">
      <c r="A71" s="10">
        <v>70</v>
      </c>
      <c r="B71" s="4">
        <v>174</v>
      </c>
      <c r="C71" s="6">
        <v>74</v>
      </c>
      <c r="D71" s="7">
        <v>167</v>
      </c>
      <c r="E71" s="8">
        <v>63</v>
      </c>
    </row>
    <row r="72" spans="1:5">
      <c r="A72" s="10">
        <v>71</v>
      </c>
      <c r="B72" s="4">
        <v>171</v>
      </c>
      <c r="C72" s="6">
        <v>70</v>
      </c>
      <c r="D72" s="7">
        <v>168</v>
      </c>
      <c r="E72" s="8">
        <v>63</v>
      </c>
    </row>
    <row r="73" spans="1:5">
      <c r="A73" s="10">
        <v>72</v>
      </c>
      <c r="B73" s="4">
        <v>172</v>
      </c>
      <c r="C73" s="6">
        <v>64</v>
      </c>
      <c r="D73" s="7">
        <v>168</v>
      </c>
      <c r="E73" s="8">
        <v>63</v>
      </c>
    </row>
    <row r="74" spans="1:5">
      <c r="A74" s="10">
        <v>73</v>
      </c>
      <c r="B74" s="4">
        <v>171</v>
      </c>
      <c r="C74" s="6">
        <v>70</v>
      </c>
      <c r="D74" s="7">
        <v>168</v>
      </c>
      <c r="E74" s="8">
        <v>63</v>
      </c>
    </row>
    <row r="75" spans="1:5">
      <c r="A75" s="10">
        <v>74</v>
      </c>
      <c r="B75" s="4">
        <v>173</v>
      </c>
      <c r="C75" s="6">
        <v>64</v>
      </c>
      <c r="D75" s="7">
        <v>168</v>
      </c>
      <c r="E75" s="8">
        <v>63</v>
      </c>
    </row>
    <row r="76" spans="1:5">
      <c r="A76" s="10">
        <v>75</v>
      </c>
      <c r="B76" s="4">
        <v>180</v>
      </c>
      <c r="C76" s="6">
        <v>76</v>
      </c>
      <c r="D76" s="7">
        <v>168</v>
      </c>
      <c r="E76" s="8">
        <v>63</v>
      </c>
    </row>
    <row r="77" spans="1:5">
      <c r="A77" s="10">
        <v>76</v>
      </c>
      <c r="B77" s="4">
        <v>172</v>
      </c>
      <c r="C77" s="6">
        <v>63</v>
      </c>
      <c r="D77" s="7">
        <v>168</v>
      </c>
      <c r="E77" s="8">
        <v>63</v>
      </c>
    </row>
    <row r="78" spans="1:5">
      <c r="A78" s="10">
        <v>77</v>
      </c>
      <c r="B78" s="4">
        <v>173</v>
      </c>
      <c r="C78" s="6">
        <v>75</v>
      </c>
      <c r="D78" s="7">
        <v>168</v>
      </c>
      <c r="E78" s="8">
        <v>63</v>
      </c>
    </row>
    <row r="79" spans="1:5">
      <c r="A79" s="10">
        <v>78</v>
      </c>
      <c r="B79" s="4">
        <v>171</v>
      </c>
      <c r="C79" s="6">
        <v>57</v>
      </c>
      <c r="D79" s="7">
        <v>168</v>
      </c>
      <c r="E79" s="8">
        <v>63</v>
      </c>
    </row>
    <row r="80" spans="1:5">
      <c r="A80" s="10">
        <v>79</v>
      </c>
      <c r="B80" s="4">
        <v>169</v>
      </c>
      <c r="C80" s="6">
        <v>62</v>
      </c>
      <c r="D80" s="7">
        <v>168</v>
      </c>
      <c r="E80" s="8">
        <v>63</v>
      </c>
    </row>
    <row r="81" spans="1:5">
      <c r="A81" s="10">
        <v>80</v>
      </c>
      <c r="B81" s="4">
        <v>161</v>
      </c>
      <c r="C81" s="6">
        <v>58</v>
      </c>
      <c r="D81" s="7">
        <v>168</v>
      </c>
      <c r="E81" s="8">
        <v>63</v>
      </c>
    </row>
    <row r="82" spans="1:5">
      <c r="A82" s="10">
        <v>81</v>
      </c>
      <c r="B82" s="4">
        <v>176</v>
      </c>
      <c r="C82" s="6">
        <v>81</v>
      </c>
      <c r="D82" s="7">
        <v>168</v>
      </c>
      <c r="E82" s="8">
        <v>63</v>
      </c>
    </row>
    <row r="83" spans="1:5">
      <c r="A83" s="10">
        <v>82</v>
      </c>
      <c r="B83" s="4">
        <v>175</v>
      </c>
      <c r="C83" s="6">
        <v>67</v>
      </c>
      <c r="D83" s="7">
        <v>168</v>
      </c>
      <c r="E83" s="8">
        <v>63</v>
      </c>
    </row>
    <row r="84" spans="1:5">
      <c r="A84" s="10">
        <v>83</v>
      </c>
      <c r="B84" s="4">
        <v>158</v>
      </c>
      <c r="C84" s="6">
        <v>57</v>
      </c>
      <c r="D84" s="7">
        <v>168</v>
      </c>
      <c r="E84" s="8">
        <v>64</v>
      </c>
    </row>
    <row r="85" spans="1:5">
      <c r="A85" s="10">
        <v>84</v>
      </c>
      <c r="B85" s="4">
        <v>174</v>
      </c>
      <c r="C85" s="6">
        <v>68</v>
      </c>
      <c r="D85" s="7">
        <v>169</v>
      </c>
      <c r="E85" s="8">
        <v>64</v>
      </c>
    </row>
    <row r="86" spans="1:5">
      <c r="A86" s="10">
        <v>85</v>
      </c>
      <c r="B86" s="4">
        <v>171</v>
      </c>
      <c r="C86" s="6">
        <v>73</v>
      </c>
      <c r="D86" s="7">
        <v>169</v>
      </c>
      <c r="E86" s="8">
        <v>64</v>
      </c>
    </row>
    <row r="87" spans="1:5">
      <c r="A87" s="10">
        <v>86</v>
      </c>
      <c r="B87" s="4">
        <v>176</v>
      </c>
      <c r="C87" s="6">
        <v>60</v>
      </c>
      <c r="D87" s="7">
        <v>169</v>
      </c>
      <c r="E87" s="8">
        <v>64</v>
      </c>
    </row>
    <row r="88" spans="1:5">
      <c r="A88" s="10">
        <v>87</v>
      </c>
      <c r="B88" s="4">
        <v>167</v>
      </c>
      <c r="C88" s="6">
        <v>57</v>
      </c>
      <c r="D88" s="7">
        <v>169</v>
      </c>
      <c r="E88" s="8">
        <v>64</v>
      </c>
    </row>
    <row r="89" spans="1:5">
      <c r="A89" s="10">
        <v>88</v>
      </c>
      <c r="B89" s="4">
        <v>161</v>
      </c>
      <c r="C89" s="6">
        <v>52</v>
      </c>
      <c r="D89" s="7">
        <v>169</v>
      </c>
      <c r="E89" s="8">
        <v>64</v>
      </c>
    </row>
    <row r="90" spans="1:5">
      <c r="A90" s="10">
        <v>89</v>
      </c>
      <c r="B90" s="4">
        <v>161</v>
      </c>
      <c r="C90" s="6">
        <v>59</v>
      </c>
      <c r="D90" s="7">
        <v>169</v>
      </c>
      <c r="E90" s="8">
        <v>64</v>
      </c>
    </row>
    <row r="91" spans="1:5">
      <c r="A91" s="10">
        <v>90</v>
      </c>
      <c r="B91" s="4">
        <v>168</v>
      </c>
      <c r="C91" s="6">
        <v>71</v>
      </c>
      <c r="D91" s="7">
        <v>169</v>
      </c>
      <c r="E91" s="8">
        <v>64</v>
      </c>
    </row>
    <row r="92" spans="1:5">
      <c r="A92" s="10">
        <v>91</v>
      </c>
      <c r="B92" s="4">
        <v>159</v>
      </c>
      <c r="C92" s="6">
        <v>55</v>
      </c>
      <c r="D92" s="7">
        <v>169</v>
      </c>
      <c r="E92" s="8">
        <v>64</v>
      </c>
    </row>
    <row r="93" spans="1:5">
      <c r="A93" s="10">
        <v>92</v>
      </c>
      <c r="B93" s="4">
        <v>163</v>
      </c>
      <c r="C93" s="6">
        <v>63</v>
      </c>
      <c r="D93" s="7">
        <v>169</v>
      </c>
      <c r="E93" s="8">
        <v>65</v>
      </c>
    </row>
    <row r="94" spans="1:5">
      <c r="A94" s="10">
        <v>93</v>
      </c>
      <c r="B94" s="4">
        <v>168</v>
      </c>
      <c r="C94" s="6">
        <v>50</v>
      </c>
      <c r="D94" s="7">
        <v>169</v>
      </c>
      <c r="E94" s="8">
        <v>65</v>
      </c>
    </row>
    <row r="95" spans="1:5">
      <c r="A95" s="10">
        <v>94</v>
      </c>
      <c r="B95" s="4">
        <v>172</v>
      </c>
      <c r="C95" s="6">
        <v>70</v>
      </c>
      <c r="D95" s="7">
        <v>169</v>
      </c>
      <c r="E95" s="8">
        <v>65</v>
      </c>
    </row>
    <row r="96" spans="1:5">
      <c r="A96" s="10">
        <v>95</v>
      </c>
      <c r="B96" s="4">
        <v>186</v>
      </c>
      <c r="C96" s="6">
        <v>72</v>
      </c>
      <c r="D96" s="7">
        <v>169</v>
      </c>
      <c r="E96" s="8">
        <v>65</v>
      </c>
    </row>
    <row r="97" spans="1:5">
      <c r="A97" s="10">
        <v>96</v>
      </c>
      <c r="B97" s="4">
        <v>171</v>
      </c>
      <c r="C97" s="6">
        <v>67</v>
      </c>
      <c r="D97" s="7">
        <v>169</v>
      </c>
      <c r="E97" s="8">
        <v>65</v>
      </c>
    </row>
    <row r="98" spans="1:5">
      <c r="A98" s="10">
        <v>97</v>
      </c>
      <c r="B98" s="4">
        <v>187</v>
      </c>
      <c r="C98" s="6">
        <v>84</v>
      </c>
      <c r="D98" s="7">
        <v>170</v>
      </c>
      <c r="E98" s="8">
        <v>65</v>
      </c>
    </row>
    <row r="99" spans="1:5">
      <c r="A99" s="10">
        <v>98</v>
      </c>
      <c r="B99" s="4">
        <v>170</v>
      </c>
      <c r="C99" s="6">
        <v>68</v>
      </c>
      <c r="D99" s="7">
        <v>170</v>
      </c>
      <c r="E99" s="8">
        <v>65</v>
      </c>
    </row>
    <row r="100" spans="1:5">
      <c r="A100" s="10">
        <v>99</v>
      </c>
      <c r="B100" s="4">
        <v>160</v>
      </c>
      <c r="C100" s="6">
        <v>61</v>
      </c>
      <c r="D100" s="7">
        <v>170</v>
      </c>
      <c r="E100" s="8">
        <v>65</v>
      </c>
    </row>
    <row r="101" spans="1:5">
      <c r="A101" s="10">
        <v>100</v>
      </c>
      <c r="B101" s="4">
        <v>172</v>
      </c>
      <c r="C101" s="6">
        <v>73</v>
      </c>
      <c r="D101" s="7">
        <v>170</v>
      </c>
      <c r="E101" s="8">
        <v>65</v>
      </c>
    </row>
    <row r="102" spans="1:5">
      <c r="A102" s="10">
        <v>101</v>
      </c>
      <c r="B102" s="4">
        <v>168</v>
      </c>
      <c r="C102" s="6">
        <v>50</v>
      </c>
      <c r="D102" s="7">
        <v>170</v>
      </c>
      <c r="E102" s="8">
        <v>65</v>
      </c>
    </row>
    <row r="103" spans="1:5">
      <c r="A103" s="10">
        <v>102</v>
      </c>
      <c r="B103" s="4">
        <v>157</v>
      </c>
      <c r="C103" s="6">
        <v>59</v>
      </c>
      <c r="D103" s="7">
        <v>170</v>
      </c>
      <c r="E103" s="8">
        <v>65</v>
      </c>
    </row>
    <row r="104" spans="1:5">
      <c r="A104" s="10">
        <v>103</v>
      </c>
      <c r="B104" s="4">
        <v>164</v>
      </c>
      <c r="C104" s="6">
        <v>66</v>
      </c>
      <c r="D104" s="7">
        <v>170</v>
      </c>
      <c r="E104" s="8">
        <v>66</v>
      </c>
    </row>
    <row r="105" spans="1:5">
      <c r="A105" s="10">
        <v>104</v>
      </c>
      <c r="B105" s="4">
        <v>170</v>
      </c>
      <c r="C105" s="6">
        <v>63</v>
      </c>
      <c r="D105" s="7">
        <v>170</v>
      </c>
      <c r="E105" s="8">
        <v>66</v>
      </c>
    </row>
    <row r="106" spans="1:5">
      <c r="A106" s="10">
        <v>105</v>
      </c>
      <c r="B106" s="4">
        <v>171</v>
      </c>
      <c r="C106" s="6">
        <v>60</v>
      </c>
      <c r="D106" s="7">
        <v>170</v>
      </c>
      <c r="E106" s="8">
        <v>66</v>
      </c>
    </row>
    <row r="107" spans="1:5">
      <c r="A107" s="10">
        <v>106</v>
      </c>
      <c r="B107" s="4">
        <v>160</v>
      </c>
      <c r="C107" s="6">
        <v>62</v>
      </c>
      <c r="D107" s="7">
        <v>170</v>
      </c>
      <c r="E107" s="8">
        <v>66</v>
      </c>
    </row>
    <row r="108" spans="1:5">
      <c r="A108" s="10">
        <v>107</v>
      </c>
      <c r="B108" s="4">
        <v>162</v>
      </c>
      <c r="C108" s="6">
        <v>55</v>
      </c>
      <c r="D108" s="7">
        <v>170</v>
      </c>
      <c r="E108" s="8">
        <v>66</v>
      </c>
    </row>
    <row r="109" spans="1:5">
      <c r="A109" s="10">
        <v>108</v>
      </c>
      <c r="B109" s="4">
        <v>163</v>
      </c>
      <c r="C109" s="6">
        <v>65</v>
      </c>
      <c r="D109" s="7">
        <v>170</v>
      </c>
      <c r="E109" s="8">
        <v>66</v>
      </c>
    </row>
    <row r="110" spans="1:5">
      <c r="A110" s="10">
        <v>109</v>
      </c>
      <c r="B110" s="4">
        <v>171</v>
      </c>
      <c r="C110" s="6">
        <v>72</v>
      </c>
      <c r="D110" s="7">
        <v>170</v>
      </c>
      <c r="E110" s="8">
        <v>66</v>
      </c>
    </row>
    <row r="111" spans="1:5">
      <c r="A111" s="10">
        <v>110</v>
      </c>
      <c r="B111" s="4">
        <v>161</v>
      </c>
      <c r="C111" s="6">
        <v>55</v>
      </c>
      <c r="D111" s="7">
        <v>170</v>
      </c>
      <c r="E111" s="8">
        <v>66</v>
      </c>
    </row>
    <row r="112" spans="1:5">
      <c r="A112" s="10">
        <v>111</v>
      </c>
      <c r="B112" s="4">
        <v>173</v>
      </c>
      <c r="C112" s="6">
        <v>69</v>
      </c>
      <c r="D112" s="7">
        <v>171</v>
      </c>
      <c r="E112" s="8">
        <v>66</v>
      </c>
    </row>
    <row r="113" spans="1:5">
      <c r="A113" s="10">
        <v>112</v>
      </c>
      <c r="B113" s="4">
        <v>175</v>
      </c>
      <c r="C113" s="6">
        <v>80</v>
      </c>
      <c r="D113" s="7">
        <v>171</v>
      </c>
      <c r="E113" s="8">
        <v>66</v>
      </c>
    </row>
    <row r="114" spans="1:5">
      <c r="A114" s="10">
        <v>113</v>
      </c>
      <c r="B114" s="4">
        <v>164</v>
      </c>
      <c r="C114" s="6">
        <v>65</v>
      </c>
      <c r="D114" s="7">
        <v>171</v>
      </c>
      <c r="E114" s="8">
        <v>66</v>
      </c>
    </row>
    <row r="115" spans="1:5">
      <c r="A115" s="10">
        <v>114</v>
      </c>
      <c r="B115" s="4">
        <v>174</v>
      </c>
      <c r="C115" s="6">
        <v>67</v>
      </c>
      <c r="D115" s="7">
        <v>171</v>
      </c>
      <c r="E115" s="8">
        <v>66</v>
      </c>
    </row>
    <row r="116" spans="1:5">
      <c r="A116" s="10">
        <v>115</v>
      </c>
      <c r="B116" s="4">
        <v>167</v>
      </c>
      <c r="C116" s="6">
        <v>59</v>
      </c>
      <c r="D116" s="7">
        <v>171</v>
      </c>
      <c r="E116" s="8">
        <v>66</v>
      </c>
    </row>
    <row r="117" spans="1:5">
      <c r="A117" s="10">
        <v>116</v>
      </c>
      <c r="B117" s="4">
        <v>176</v>
      </c>
      <c r="C117" s="6">
        <v>81</v>
      </c>
      <c r="D117" s="7">
        <v>171</v>
      </c>
      <c r="E117" s="8">
        <v>66</v>
      </c>
    </row>
    <row r="118" spans="1:5">
      <c r="A118" s="10">
        <v>117</v>
      </c>
      <c r="B118" s="4">
        <v>163</v>
      </c>
      <c r="C118" s="6">
        <v>68</v>
      </c>
      <c r="D118" s="7">
        <v>171</v>
      </c>
      <c r="E118" s="8">
        <v>66</v>
      </c>
    </row>
    <row r="119" spans="1:5">
      <c r="A119" s="10">
        <v>118</v>
      </c>
      <c r="B119" s="4">
        <v>156</v>
      </c>
      <c r="C119" s="6">
        <v>59</v>
      </c>
      <c r="D119" s="7">
        <v>171</v>
      </c>
      <c r="E119" s="8">
        <v>66</v>
      </c>
    </row>
    <row r="120" spans="1:5">
      <c r="A120" s="10">
        <v>119</v>
      </c>
      <c r="B120" s="4">
        <v>179</v>
      </c>
      <c r="C120" s="6">
        <v>71</v>
      </c>
      <c r="D120" s="7">
        <v>171</v>
      </c>
      <c r="E120" s="8">
        <v>67</v>
      </c>
    </row>
    <row r="121" spans="1:5">
      <c r="A121" s="10">
        <v>120</v>
      </c>
      <c r="B121" s="4">
        <v>179</v>
      </c>
      <c r="C121" s="6">
        <v>69</v>
      </c>
      <c r="D121" s="7">
        <v>171</v>
      </c>
      <c r="E121" s="8">
        <v>67</v>
      </c>
    </row>
    <row r="122" spans="1:5">
      <c r="A122" s="10">
        <v>121</v>
      </c>
      <c r="B122" s="4">
        <v>176</v>
      </c>
      <c r="C122" s="6">
        <v>77</v>
      </c>
      <c r="D122" s="7">
        <v>171</v>
      </c>
      <c r="E122" s="8">
        <v>67</v>
      </c>
    </row>
    <row r="123" spans="1:5">
      <c r="A123" s="10">
        <v>122</v>
      </c>
      <c r="B123" s="4">
        <v>163</v>
      </c>
      <c r="C123" s="6">
        <v>65</v>
      </c>
      <c r="D123" s="7">
        <v>171</v>
      </c>
      <c r="E123" s="8">
        <v>67</v>
      </c>
    </row>
    <row r="124" spans="1:5">
      <c r="A124" s="10">
        <v>123</v>
      </c>
      <c r="B124" s="4">
        <v>175</v>
      </c>
      <c r="C124" s="6">
        <v>78</v>
      </c>
      <c r="D124" s="7">
        <v>171</v>
      </c>
      <c r="E124" s="8">
        <v>67</v>
      </c>
    </row>
    <row r="125" spans="1:5">
      <c r="A125" s="10">
        <v>124</v>
      </c>
      <c r="B125" s="4">
        <v>156</v>
      </c>
      <c r="C125" s="6">
        <v>52</v>
      </c>
      <c r="D125" s="7">
        <v>171</v>
      </c>
      <c r="E125" s="8">
        <v>67</v>
      </c>
    </row>
    <row r="126" spans="1:5">
      <c r="A126" s="10">
        <v>125</v>
      </c>
      <c r="B126" s="4">
        <v>177</v>
      </c>
      <c r="C126" s="6">
        <v>72</v>
      </c>
      <c r="D126" s="7">
        <v>171</v>
      </c>
      <c r="E126" s="8">
        <v>67</v>
      </c>
    </row>
    <row r="127" spans="1:5">
      <c r="A127" s="10">
        <v>126</v>
      </c>
      <c r="B127" s="4">
        <v>166</v>
      </c>
      <c r="C127" s="6">
        <v>67</v>
      </c>
      <c r="D127" s="7">
        <v>171</v>
      </c>
      <c r="E127" s="8">
        <v>67</v>
      </c>
    </row>
    <row r="128" spans="1:5">
      <c r="A128" s="10">
        <v>127</v>
      </c>
      <c r="B128" s="4">
        <v>173</v>
      </c>
      <c r="C128" s="6">
        <v>77</v>
      </c>
      <c r="D128" s="7">
        <v>171</v>
      </c>
      <c r="E128" s="8">
        <v>67</v>
      </c>
    </row>
    <row r="129" spans="1:5">
      <c r="A129" s="10">
        <v>128</v>
      </c>
      <c r="B129" s="4">
        <v>169</v>
      </c>
      <c r="C129" s="6">
        <v>61</v>
      </c>
      <c r="D129" s="7">
        <v>171</v>
      </c>
      <c r="E129" s="8">
        <v>67</v>
      </c>
    </row>
    <row r="130" spans="1:5">
      <c r="A130" s="10">
        <v>129</v>
      </c>
      <c r="B130" s="4">
        <v>172</v>
      </c>
      <c r="C130" s="6">
        <v>64</v>
      </c>
      <c r="D130" s="7">
        <v>171</v>
      </c>
      <c r="E130" s="8">
        <v>67</v>
      </c>
    </row>
    <row r="131" spans="1:5">
      <c r="A131" s="10">
        <v>130</v>
      </c>
      <c r="B131" s="4">
        <v>165</v>
      </c>
      <c r="C131" s="6">
        <v>56</v>
      </c>
      <c r="D131" s="7">
        <v>171</v>
      </c>
      <c r="E131" s="8">
        <v>67</v>
      </c>
    </row>
    <row r="132" spans="1:5">
      <c r="A132" s="10">
        <v>131</v>
      </c>
      <c r="B132" s="4">
        <v>164</v>
      </c>
      <c r="C132" s="6">
        <v>62</v>
      </c>
      <c r="D132" s="7">
        <v>171</v>
      </c>
      <c r="E132" s="8">
        <v>67</v>
      </c>
    </row>
    <row r="133" spans="1:5">
      <c r="A133" s="10">
        <v>132</v>
      </c>
      <c r="B133" s="4">
        <v>166</v>
      </c>
      <c r="C133" s="6">
        <v>63</v>
      </c>
      <c r="D133" s="7">
        <v>171</v>
      </c>
      <c r="E133" s="8">
        <v>67</v>
      </c>
    </row>
    <row r="134" spans="1:5">
      <c r="A134" s="10">
        <v>133</v>
      </c>
      <c r="B134" s="4">
        <v>168</v>
      </c>
      <c r="C134" s="6">
        <v>63</v>
      </c>
      <c r="D134" s="7">
        <v>171</v>
      </c>
      <c r="E134" s="8">
        <v>67</v>
      </c>
    </row>
    <row r="135" spans="1:5">
      <c r="A135" s="10">
        <v>134</v>
      </c>
      <c r="B135" s="4">
        <v>167</v>
      </c>
      <c r="C135" s="6">
        <v>63</v>
      </c>
      <c r="D135" s="7">
        <v>171</v>
      </c>
      <c r="E135" s="8">
        <v>68</v>
      </c>
    </row>
    <row r="136" spans="1:5">
      <c r="A136" s="10">
        <v>135</v>
      </c>
      <c r="B136" s="4">
        <v>166</v>
      </c>
      <c r="C136" s="6">
        <v>67</v>
      </c>
      <c r="D136" s="7">
        <v>171</v>
      </c>
      <c r="E136" s="8">
        <v>68</v>
      </c>
    </row>
    <row r="137" spans="1:5">
      <c r="A137" s="10">
        <v>136</v>
      </c>
      <c r="B137" s="4">
        <v>169</v>
      </c>
      <c r="C137" s="6">
        <v>71</v>
      </c>
      <c r="D137" s="7">
        <v>171</v>
      </c>
      <c r="E137" s="8">
        <v>68</v>
      </c>
    </row>
    <row r="138" spans="1:5">
      <c r="A138" s="10">
        <v>137</v>
      </c>
      <c r="B138" s="4">
        <v>169</v>
      </c>
      <c r="C138" s="6">
        <v>66</v>
      </c>
      <c r="D138" s="7">
        <v>171</v>
      </c>
      <c r="E138" s="8">
        <v>68</v>
      </c>
    </row>
    <row r="139" spans="1:5">
      <c r="A139" s="10">
        <v>138</v>
      </c>
      <c r="B139" s="4">
        <v>169</v>
      </c>
      <c r="C139" s="6">
        <v>62</v>
      </c>
      <c r="D139" s="7">
        <v>172</v>
      </c>
      <c r="E139" s="8">
        <v>68</v>
      </c>
    </row>
    <row r="140" spans="1:5">
      <c r="A140" s="10">
        <v>139</v>
      </c>
      <c r="B140" s="4">
        <v>164</v>
      </c>
      <c r="C140" s="6">
        <v>65</v>
      </c>
      <c r="D140" s="7">
        <v>172</v>
      </c>
      <c r="E140" s="8">
        <v>69</v>
      </c>
    </row>
    <row r="141" spans="1:5">
      <c r="A141" s="10">
        <v>140</v>
      </c>
      <c r="B141" s="4">
        <v>179</v>
      </c>
      <c r="C141" s="6">
        <v>80</v>
      </c>
      <c r="D141" s="7">
        <v>172</v>
      </c>
      <c r="E141" s="8">
        <v>69</v>
      </c>
    </row>
    <row r="142" spans="1:5">
      <c r="A142" s="10">
        <v>141</v>
      </c>
      <c r="B142" s="4">
        <v>156</v>
      </c>
      <c r="C142" s="6">
        <v>59</v>
      </c>
      <c r="D142" s="7">
        <v>172</v>
      </c>
      <c r="E142" s="8">
        <v>69</v>
      </c>
    </row>
    <row r="143" spans="1:5">
      <c r="A143" s="10">
        <v>142</v>
      </c>
      <c r="B143" s="4">
        <v>168</v>
      </c>
      <c r="C143" s="6">
        <v>64</v>
      </c>
      <c r="D143" s="7">
        <v>172</v>
      </c>
      <c r="E143" s="8">
        <v>69</v>
      </c>
    </row>
    <row r="144" spans="1:5">
      <c r="A144" s="10">
        <v>143</v>
      </c>
      <c r="B144" s="4">
        <v>171</v>
      </c>
      <c r="C144" s="6">
        <v>66</v>
      </c>
      <c r="D144" s="7">
        <v>172</v>
      </c>
      <c r="E144" s="8">
        <v>69</v>
      </c>
    </row>
    <row r="145" spans="1:5">
      <c r="A145" s="10">
        <v>144</v>
      </c>
      <c r="B145" s="4">
        <v>166</v>
      </c>
      <c r="C145" s="6">
        <v>78</v>
      </c>
      <c r="D145" s="7">
        <v>172</v>
      </c>
      <c r="E145" s="8">
        <v>69</v>
      </c>
    </row>
    <row r="146" spans="1:5">
      <c r="A146" s="10">
        <v>145</v>
      </c>
      <c r="B146" s="4">
        <v>171</v>
      </c>
      <c r="C146" s="6">
        <v>70</v>
      </c>
      <c r="D146" s="7">
        <v>172</v>
      </c>
      <c r="E146" s="8">
        <v>69</v>
      </c>
    </row>
    <row r="147" spans="1:5">
      <c r="A147" s="10">
        <v>146</v>
      </c>
      <c r="B147" s="4">
        <v>172</v>
      </c>
      <c r="C147" s="6">
        <v>67</v>
      </c>
      <c r="D147" s="7">
        <v>172</v>
      </c>
      <c r="E147" s="8">
        <v>69</v>
      </c>
    </row>
    <row r="148" spans="1:5">
      <c r="A148" s="10">
        <v>147</v>
      </c>
      <c r="B148" s="4">
        <v>171</v>
      </c>
      <c r="C148" s="6">
        <v>67</v>
      </c>
      <c r="D148" s="7">
        <v>172</v>
      </c>
      <c r="E148" s="8">
        <v>69</v>
      </c>
    </row>
    <row r="149" spans="1:5">
      <c r="A149" s="10">
        <v>148</v>
      </c>
      <c r="B149" s="4">
        <v>169</v>
      </c>
      <c r="C149" s="6">
        <v>62</v>
      </c>
      <c r="D149" s="7">
        <v>172</v>
      </c>
      <c r="E149" s="8">
        <v>69</v>
      </c>
    </row>
    <row r="150" spans="1:5">
      <c r="A150" s="10">
        <v>149</v>
      </c>
      <c r="B150" s="4">
        <v>174</v>
      </c>
      <c r="C150" s="6">
        <v>74</v>
      </c>
      <c r="D150" s="7">
        <v>172</v>
      </c>
      <c r="E150" s="8">
        <v>69</v>
      </c>
    </row>
    <row r="151" spans="1:5">
      <c r="A151" s="10">
        <v>150</v>
      </c>
      <c r="B151" s="4">
        <v>165</v>
      </c>
      <c r="C151" s="6">
        <v>60</v>
      </c>
      <c r="D151" s="7">
        <v>172</v>
      </c>
      <c r="E151" s="8">
        <v>69</v>
      </c>
    </row>
    <row r="152" spans="1:5">
      <c r="A152" s="10">
        <v>151</v>
      </c>
      <c r="B152" s="4">
        <v>165</v>
      </c>
      <c r="C152" s="6">
        <v>60</v>
      </c>
      <c r="D152" s="7">
        <v>172</v>
      </c>
      <c r="E152" s="8">
        <v>69</v>
      </c>
    </row>
    <row r="153" spans="1:5">
      <c r="A153" s="10">
        <v>152</v>
      </c>
      <c r="B153" s="4">
        <v>163</v>
      </c>
      <c r="C153" s="6">
        <v>63</v>
      </c>
      <c r="D153" s="7">
        <v>173</v>
      </c>
      <c r="E153" s="8">
        <v>70</v>
      </c>
    </row>
    <row r="154" spans="1:5">
      <c r="A154" s="10">
        <v>153</v>
      </c>
      <c r="B154" s="4">
        <v>171</v>
      </c>
      <c r="C154" s="6">
        <v>57</v>
      </c>
      <c r="D154" s="7">
        <v>173</v>
      </c>
      <c r="E154" s="8">
        <v>70</v>
      </c>
    </row>
    <row r="155" spans="1:5">
      <c r="A155" s="10">
        <v>154</v>
      </c>
      <c r="B155" s="4">
        <v>172</v>
      </c>
      <c r="C155" s="6">
        <v>67</v>
      </c>
      <c r="D155" s="7">
        <v>173</v>
      </c>
      <c r="E155" s="8">
        <v>70</v>
      </c>
    </row>
    <row r="156" spans="1:5">
      <c r="A156" s="10">
        <v>155</v>
      </c>
      <c r="B156" s="4">
        <v>175</v>
      </c>
      <c r="C156" s="6">
        <v>67</v>
      </c>
      <c r="D156" s="7">
        <v>173</v>
      </c>
      <c r="E156" s="8">
        <v>70</v>
      </c>
    </row>
    <row r="157" spans="1:5">
      <c r="A157" s="10">
        <v>156</v>
      </c>
      <c r="B157" s="4">
        <v>172</v>
      </c>
      <c r="C157" s="6">
        <v>70</v>
      </c>
      <c r="D157" s="7">
        <v>173</v>
      </c>
      <c r="E157" s="8">
        <v>70</v>
      </c>
    </row>
    <row r="158" spans="1:5">
      <c r="A158" s="10">
        <v>157</v>
      </c>
      <c r="B158" s="4">
        <v>162</v>
      </c>
      <c r="C158" s="6">
        <v>54</v>
      </c>
      <c r="D158" s="7">
        <v>173</v>
      </c>
      <c r="E158" s="8">
        <v>70</v>
      </c>
    </row>
    <row r="159" spans="1:5">
      <c r="A159" s="10">
        <v>158</v>
      </c>
      <c r="B159" s="4">
        <v>163</v>
      </c>
      <c r="C159" s="6">
        <v>60</v>
      </c>
      <c r="D159" s="7">
        <v>173</v>
      </c>
      <c r="E159" s="8">
        <v>70</v>
      </c>
    </row>
    <row r="160" spans="1:5">
      <c r="A160" s="10">
        <v>159</v>
      </c>
      <c r="B160" s="4">
        <v>173</v>
      </c>
      <c r="C160" s="6">
        <v>66</v>
      </c>
      <c r="D160" s="7">
        <v>173</v>
      </c>
      <c r="E160" s="8">
        <v>70</v>
      </c>
    </row>
    <row r="161" spans="1:5">
      <c r="A161" s="10">
        <v>160</v>
      </c>
      <c r="B161" s="4">
        <v>174</v>
      </c>
      <c r="C161" s="6">
        <v>79</v>
      </c>
      <c r="D161" s="7">
        <v>173</v>
      </c>
      <c r="E161" s="8">
        <v>70</v>
      </c>
    </row>
    <row r="162" spans="1:5">
      <c r="A162" s="10">
        <v>161</v>
      </c>
      <c r="B162" s="4">
        <v>164</v>
      </c>
      <c r="C162" s="6">
        <v>61</v>
      </c>
      <c r="D162" s="7">
        <v>173</v>
      </c>
      <c r="E162" s="8">
        <v>70</v>
      </c>
    </row>
    <row r="163" spans="1:5">
      <c r="A163" s="10">
        <v>162</v>
      </c>
      <c r="B163" s="4">
        <v>176</v>
      </c>
      <c r="C163" s="6">
        <v>71</v>
      </c>
      <c r="D163" s="7">
        <v>173</v>
      </c>
      <c r="E163" s="8">
        <v>70</v>
      </c>
    </row>
    <row r="164" spans="1:5">
      <c r="A164" s="10">
        <v>163</v>
      </c>
      <c r="B164" s="4">
        <v>171</v>
      </c>
      <c r="C164" s="6">
        <v>66</v>
      </c>
      <c r="D164" s="7">
        <v>173</v>
      </c>
      <c r="E164" s="8">
        <v>70</v>
      </c>
    </row>
    <row r="165" spans="1:5">
      <c r="A165" s="10">
        <v>164</v>
      </c>
      <c r="B165" s="4">
        <v>173</v>
      </c>
      <c r="C165" s="6">
        <v>69</v>
      </c>
      <c r="D165" s="7">
        <v>173</v>
      </c>
      <c r="E165" s="8">
        <v>71</v>
      </c>
    </row>
    <row r="166" spans="1:5">
      <c r="A166" s="10">
        <v>165</v>
      </c>
      <c r="B166" s="4">
        <v>169</v>
      </c>
      <c r="C166" s="6">
        <v>68</v>
      </c>
      <c r="D166" s="7">
        <v>173</v>
      </c>
      <c r="E166" s="8">
        <v>71</v>
      </c>
    </row>
    <row r="167" spans="1:5">
      <c r="A167" s="10">
        <v>166</v>
      </c>
      <c r="B167" s="4">
        <v>166</v>
      </c>
      <c r="C167" s="6">
        <v>61</v>
      </c>
      <c r="D167" s="7">
        <v>174</v>
      </c>
      <c r="E167" s="8">
        <v>71</v>
      </c>
    </row>
    <row r="168" spans="1:5">
      <c r="A168" s="10">
        <v>167</v>
      </c>
      <c r="B168" s="4">
        <v>173</v>
      </c>
      <c r="C168" s="6">
        <v>69</v>
      </c>
      <c r="D168" s="7">
        <v>174</v>
      </c>
      <c r="E168" s="8">
        <v>71</v>
      </c>
    </row>
    <row r="169" spans="1:5">
      <c r="A169" s="10">
        <v>168</v>
      </c>
      <c r="B169" s="4">
        <v>172</v>
      </c>
      <c r="C169" s="6">
        <v>74</v>
      </c>
      <c r="D169" s="7">
        <v>174</v>
      </c>
      <c r="E169" s="8">
        <v>71</v>
      </c>
    </row>
    <row r="170" spans="1:5">
      <c r="A170" s="10">
        <v>169</v>
      </c>
      <c r="B170" s="4">
        <v>173</v>
      </c>
      <c r="C170" s="6">
        <v>69</v>
      </c>
      <c r="D170" s="7">
        <v>174</v>
      </c>
      <c r="E170" s="8">
        <v>72</v>
      </c>
    </row>
    <row r="171" spans="1:5">
      <c r="A171" s="10">
        <v>170</v>
      </c>
      <c r="B171" s="4">
        <v>161</v>
      </c>
      <c r="C171" s="6">
        <v>55</v>
      </c>
      <c r="D171" s="7">
        <v>174</v>
      </c>
      <c r="E171" s="8">
        <v>72</v>
      </c>
    </row>
    <row r="172" spans="1:5">
      <c r="A172" s="10">
        <v>171</v>
      </c>
      <c r="B172" s="4">
        <v>169</v>
      </c>
      <c r="C172" s="6">
        <v>61</v>
      </c>
      <c r="D172" s="7">
        <v>174</v>
      </c>
      <c r="E172" s="8">
        <v>72</v>
      </c>
    </row>
    <row r="173" spans="1:5">
      <c r="A173" s="10">
        <v>172</v>
      </c>
      <c r="B173" s="4">
        <v>172</v>
      </c>
      <c r="C173" s="6">
        <v>63</v>
      </c>
      <c r="D173" s="7">
        <v>174</v>
      </c>
      <c r="E173" s="8">
        <v>72</v>
      </c>
    </row>
    <row r="174" spans="1:5">
      <c r="A174" s="10">
        <v>173</v>
      </c>
      <c r="B174" s="4">
        <v>168</v>
      </c>
      <c r="C174" s="6">
        <v>70</v>
      </c>
      <c r="D174" s="7">
        <v>174</v>
      </c>
      <c r="E174" s="8">
        <v>73</v>
      </c>
    </row>
    <row r="175" spans="1:5">
      <c r="A175" s="10">
        <v>174</v>
      </c>
      <c r="B175" s="4">
        <v>171</v>
      </c>
      <c r="C175" s="6">
        <v>66</v>
      </c>
      <c r="D175" s="7">
        <v>174</v>
      </c>
      <c r="E175" s="8">
        <v>73</v>
      </c>
    </row>
    <row r="176" spans="1:5">
      <c r="A176" s="10">
        <v>175</v>
      </c>
      <c r="B176" s="4">
        <v>173</v>
      </c>
      <c r="C176" s="6">
        <v>65</v>
      </c>
      <c r="D176" s="7">
        <v>175</v>
      </c>
      <c r="E176" s="8">
        <v>73</v>
      </c>
    </row>
    <row r="177" spans="1:5">
      <c r="A177" s="10">
        <v>176</v>
      </c>
      <c r="B177" s="4">
        <v>170</v>
      </c>
      <c r="C177" s="6">
        <v>61</v>
      </c>
      <c r="D177" s="7">
        <v>175</v>
      </c>
      <c r="E177" s="8">
        <v>74</v>
      </c>
    </row>
    <row r="178" spans="1:5">
      <c r="A178" s="10">
        <v>177</v>
      </c>
      <c r="B178" s="4">
        <v>163</v>
      </c>
      <c r="C178" s="6">
        <v>65</v>
      </c>
      <c r="D178" s="7">
        <v>175</v>
      </c>
      <c r="E178" s="8">
        <v>74</v>
      </c>
    </row>
    <row r="179" spans="1:5">
      <c r="A179" s="10">
        <v>178</v>
      </c>
      <c r="B179" s="4">
        <v>167</v>
      </c>
      <c r="C179" s="6">
        <v>55</v>
      </c>
      <c r="D179" s="7">
        <v>175</v>
      </c>
      <c r="E179" s="8">
        <v>74</v>
      </c>
    </row>
    <row r="180" spans="1:5">
      <c r="A180" s="10">
        <v>179</v>
      </c>
      <c r="B180" s="4">
        <v>171</v>
      </c>
      <c r="C180" s="6">
        <v>70</v>
      </c>
      <c r="D180" s="7">
        <v>176</v>
      </c>
      <c r="E180" s="8">
        <v>74</v>
      </c>
    </row>
    <row r="181" spans="1:5">
      <c r="A181" s="10">
        <v>180</v>
      </c>
      <c r="B181" s="4">
        <v>169</v>
      </c>
      <c r="C181" s="6">
        <v>70</v>
      </c>
      <c r="D181" s="7">
        <v>176</v>
      </c>
      <c r="E181" s="8">
        <v>74</v>
      </c>
    </row>
    <row r="182" spans="1:5">
      <c r="A182" s="10">
        <v>181</v>
      </c>
      <c r="B182" s="4">
        <v>170</v>
      </c>
      <c r="C182" s="6">
        <v>63</v>
      </c>
      <c r="D182" s="7">
        <v>176</v>
      </c>
      <c r="E182" s="8">
        <v>74</v>
      </c>
    </row>
    <row r="183" spans="1:5">
      <c r="A183" s="10">
        <v>182</v>
      </c>
      <c r="B183" s="4">
        <v>166</v>
      </c>
      <c r="C183" s="6">
        <v>63</v>
      </c>
      <c r="D183" s="7">
        <v>176</v>
      </c>
      <c r="E183" s="8">
        <v>75</v>
      </c>
    </row>
    <row r="184" spans="1:5">
      <c r="A184" s="10">
        <v>183</v>
      </c>
      <c r="B184" s="4">
        <v>172</v>
      </c>
      <c r="C184" s="6">
        <v>65</v>
      </c>
      <c r="D184" s="7">
        <v>176</v>
      </c>
      <c r="E184" s="8">
        <v>75</v>
      </c>
    </row>
    <row r="185" spans="1:5">
      <c r="A185" s="10">
        <v>184</v>
      </c>
      <c r="B185" s="4">
        <v>171</v>
      </c>
      <c r="C185" s="6">
        <v>64</v>
      </c>
      <c r="D185" s="7">
        <v>177</v>
      </c>
      <c r="E185" s="8">
        <v>75</v>
      </c>
    </row>
    <row r="186" spans="1:5">
      <c r="A186" s="10">
        <v>185</v>
      </c>
      <c r="B186" s="4">
        <v>166</v>
      </c>
      <c r="C186" s="6">
        <v>78</v>
      </c>
      <c r="D186" s="7">
        <v>177</v>
      </c>
      <c r="E186" s="8">
        <v>75</v>
      </c>
    </row>
    <row r="187" spans="1:5">
      <c r="A187" s="10">
        <v>186</v>
      </c>
      <c r="B187" s="4">
        <v>177</v>
      </c>
      <c r="C187" s="6">
        <v>72</v>
      </c>
      <c r="D187" s="7">
        <v>177</v>
      </c>
      <c r="E187" s="8">
        <v>75</v>
      </c>
    </row>
    <row r="188" spans="1:5">
      <c r="A188" s="10">
        <v>187</v>
      </c>
      <c r="B188" s="4">
        <v>171</v>
      </c>
      <c r="C188" s="6">
        <v>66</v>
      </c>
      <c r="D188" s="7">
        <v>178</v>
      </c>
      <c r="E188" s="8">
        <v>76</v>
      </c>
    </row>
    <row r="189" spans="1:5">
      <c r="A189" s="10">
        <v>188</v>
      </c>
      <c r="B189" s="4">
        <v>164</v>
      </c>
      <c r="C189" s="6">
        <v>62</v>
      </c>
      <c r="D189" s="7">
        <v>178</v>
      </c>
      <c r="E189" s="8">
        <v>76</v>
      </c>
    </row>
    <row r="190" spans="1:5">
      <c r="A190" s="10">
        <v>189</v>
      </c>
      <c r="B190" s="4">
        <v>169</v>
      </c>
      <c r="C190" s="6">
        <v>66</v>
      </c>
      <c r="D190" s="7">
        <v>178</v>
      </c>
      <c r="E190" s="8">
        <v>77</v>
      </c>
    </row>
    <row r="191" spans="1:5">
      <c r="A191" s="10">
        <v>190</v>
      </c>
      <c r="B191" s="4">
        <v>167</v>
      </c>
      <c r="C191" s="6">
        <v>67</v>
      </c>
      <c r="D191" s="7">
        <v>178</v>
      </c>
      <c r="E191" s="8">
        <v>77</v>
      </c>
    </row>
    <row r="192" spans="1:5">
      <c r="A192" s="10">
        <v>191</v>
      </c>
      <c r="B192" s="4">
        <v>168</v>
      </c>
      <c r="C192" s="6">
        <v>67</v>
      </c>
      <c r="D192" s="7">
        <v>179</v>
      </c>
      <c r="E192" s="8">
        <v>78</v>
      </c>
    </row>
    <row r="193" spans="1:5">
      <c r="A193" s="10">
        <v>192</v>
      </c>
      <c r="B193" s="4">
        <v>169</v>
      </c>
      <c r="C193" s="6">
        <v>66</v>
      </c>
      <c r="D193" s="7">
        <v>179</v>
      </c>
      <c r="E193" s="8">
        <v>78</v>
      </c>
    </row>
    <row r="194" spans="1:5">
      <c r="A194" s="10">
        <v>193</v>
      </c>
      <c r="B194" s="4">
        <v>165</v>
      </c>
      <c r="C194" s="6">
        <v>63</v>
      </c>
      <c r="D194" s="7">
        <v>179</v>
      </c>
      <c r="E194" s="8">
        <v>78</v>
      </c>
    </row>
    <row r="195" spans="1:5">
      <c r="A195" s="10">
        <v>194</v>
      </c>
      <c r="B195" s="4">
        <v>174</v>
      </c>
      <c r="C195" s="6">
        <v>74</v>
      </c>
      <c r="D195" s="7">
        <v>179</v>
      </c>
      <c r="E195" s="8">
        <v>79</v>
      </c>
    </row>
    <row r="196" spans="1:5">
      <c r="A196" s="10">
        <v>195</v>
      </c>
      <c r="B196" s="4">
        <v>171</v>
      </c>
      <c r="C196" s="6">
        <v>69</v>
      </c>
      <c r="D196" s="7">
        <v>179</v>
      </c>
      <c r="E196" s="8">
        <v>80</v>
      </c>
    </row>
    <row r="197" spans="1:5">
      <c r="A197" s="10">
        <v>196</v>
      </c>
      <c r="B197" s="4">
        <v>168</v>
      </c>
      <c r="C197" s="6">
        <v>70</v>
      </c>
      <c r="D197" s="7">
        <v>180</v>
      </c>
      <c r="E197" s="8">
        <v>80</v>
      </c>
    </row>
    <row r="198" spans="1:5">
      <c r="A198" s="10">
        <v>197</v>
      </c>
      <c r="B198" s="4">
        <v>171</v>
      </c>
      <c r="C198" s="6">
        <v>65</v>
      </c>
      <c r="D198" s="7">
        <v>182</v>
      </c>
      <c r="E198" s="8">
        <v>81</v>
      </c>
    </row>
    <row r="199" spans="1:5">
      <c r="A199" s="10">
        <v>198</v>
      </c>
      <c r="B199" s="4">
        <v>171</v>
      </c>
      <c r="C199" s="6">
        <v>69</v>
      </c>
      <c r="D199" s="7">
        <v>186</v>
      </c>
      <c r="E199" s="8">
        <v>81</v>
      </c>
    </row>
    <row r="200" spans="1:5">
      <c r="A200" s="10">
        <v>199</v>
      </c>
      <c r="B200" s="4">
        <v>172</v>
      </c>
      <c r="C200" s="6">
        <v>69</v>
      </c>
      <c r="D200" s="7">
        <v>187</v>
      </c>
      <c r="E200" s="8">
        <v>84</v>
      </c>
    </row>
    <row r="201" spans="1:5">
      <c r="A201" s="10">
        <v>200</v>
      </c>
      <c r="B201" s="4">
        <v>167</v>
      </c>
      <c r="C201" s="6">
        <v>63</v>
      </c>
      <c r="D201" s="7">
        <v>187</v>
      </c>
      <c r="E201" s="8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2BBF-4D1E-2141-A00E-6ACE10728B7B}">
  <sheetPr codeName="Лист2"/>
  <dimension ref="A1:J20"/>
  <sheetViews>
    <sheetView zoomScale="162" zoomScaleNormal="162" workbookViewId="0">
      <selection activeCell="L15" sqref="L15"/>
    </sheetView>
  </sheetViews>
  <sheetFormatPr baseColWidth="10" defaultRowHeight="16"/>
  <cols>
    <col min="1" max="1" width="24.83203125" customWidth="1"/>
    <col min="2" max="3" width="8.83203125" customWidth="1"/>
    <col min="4" max="5" width="8.6640625" customWidth="1"/>
    <col min="6" max="6" width="8.83203125" customWidth="1"/>
    <col min="7" max="7" width="8.6640625" customWidth="1"/>
    <col min="8" max="10" width="8.83203125" customWidth="1"/>
  </cols>
  <sheetData>
    <row r="1" spans="1:10">
      <c r="A1" s="24" t="s">
        <v>8</v>
      </c>
      <c r="B1" s="20">
        <v>10</v>
      </c>
      <c r="C1" s="2"/>
      <c r="D1" s="2"/>
      <c r="E1" s="2"/>
      <c r="F1" s="2"/>
      <c r="G1" s="2"/>
      <c r="H1" s="2"/>
      <c r="I1" s="2"/>
      <c r="J1" s="2"/>
    </row>
    <row r="2" spans="1:10" ht="47" customHeight="1">
      <c r="A2" s="23" t="s">
        <v>7</v>
      </c>
      <c r="B2" s="19"/>
      <c r="C2" s="19"/>
      <c r="D2" s="2"/>
      <c r="E2" s="2"/>
      <c r="F2" s="2"/>
      <c r="G2" s="2"/>
      <c r="H2" s="2"/>
      <c r="I2" s="2"/>
      <c r="J2" s="2"/>
    </row>
    <row r="3" spans="1:10" ht="36" customHeight="1">
      <c r="A3" s="19"/>
      <c r="B3" s="20">
        <f>('1'!D201 - '1'!D2)/$B$1</f>
        <v>3.1</v>
      </c>
      <c r="C3" s="20">
        <f>('1'!E201 - '1'!E2)/$B$1</f>
        <v>3.4</v>
      </c>
      <c r="D3" s="18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13" t="s">
        <v>9</v>
      </c>
      <c r="C9" s="25" t="s">
        <v>1</v>
      </c>
      <c r="D9" s="25"/>
      <c r="E9" s="25"/>
      <c r="F9" s="2"/>
      <c r="G9" s="13" t="s">
        <v>9</v>
      </c>
      <c r="H9" s="25" t="s">
        <v>2</v>
      </c>
      <c r="I9" s="25"/>
      <c r="J9" s="25"/>
    </row>
    <row r="10" spans="1:10" ht="17" customHeight="1">
      <c r="A10" s="2"/>
      <c r="B10" s="13"/>
      <c r="C10" s="12"/>
      <c r="D10" s="12"/>
      <c r="E10" s="12"/>
      <c r="F10" s="2"/>
      <c r="G10" s="13"/>
      <c r="H10" s="12"/>
      <c r="I10" s="12"/>
      <c r="J10" s="12"/>
    </row>
    <row r="11" spans="1:10">
      <c r="A11" s="2"/>
      <c r="B11" s="14">
        <v>1</v>
      </c>
      <c r="C11" s="16">
        <f>'1'!D2</f>
        <v>156</v>
      </c>
      <c r="D11" s="16">
        <f>C11 + B3</f>
        <v>159.1</v>
      </c>
      <c r="E11" s="16" cm="1">
        <f t="array" ref="E11:E20">FREQUENCY('1'!D2:D201,D11:D19)</f>
        <v>9</v>
      </c>
      <c r="F11" s="2"/>
      <c r="G11" s="17">
        <v>1</v>
      </c>
      <c r="H11" s="16">
        <f>'1'!E2</f>
        <v>50</v>
      </c>
      <c r="I11" s="16">
        <f t="shared" ref="I11:I20" si="0">H11 + $C$3</f>
        <v>53.4</v>
      </c>
      <c r="J11" s="16">
        <f>COUNTIFS('1'!$C$2:$C$201,"&gt;="&amp;H11,'1'!$C$2:$C$201,"&lt;"&amp;I11)</f>
        <v>6</v>
      </c>
    </row>
    <row r="12" spans="1:10">
      <c r="A12" s="2"/>
      <c r="B12" s="14">
        <v>2</v>
      </c>
      <c r="C12" s="16">
        <f>D11</f>
        <v>159.1</v>
      </c>
      <c r="D12" s="16">
        <f t="shared" ref="D12:D20" si="1">C12 + $B$3</f>
        <v>162.19999999999999</v>
      </c>
      <c r="E12" s="16">
        <v>11</v>
      </c>
      <c r="F12" s="2"/>
      <c r="G12" s="17">
        <v>2</v>
      </c>
      <c r="H12" s="16">
        <f t="shared" ref="H12:H20" si="2">I11</f>
        <v>53.4</v>
      </c>
      <c r="I12" s="16">
        <f t="shared" si="0"/>
        <v>56.8</v>
      </c>
      <c r="J12" s="16">
        <f>COUNTIFS('1'!$C$2:$C$201,"&gt;="&amp;H12,'1'!$C$2:$C$201,"&lt;"&amp;I12)</f>
        <v>9</v>
      </c>
    </row>
    <row r="13" spans="1:10">
      <c r="A13" s="2"/>
      <c r="B13" s="14">
        <v>3</v>
      </c>
      <c r="C13" s="16">
        <f t="shared" ref="C13:C20" si="3">D12</f>
        <v>162.19999999999999</v>
      </c>
      <c r="D13" s="16">
        <f t="shared" si="1"/>
        <v>165.29999999999998</v>
      </c>
      <c r="E13" s="16">
        <v>28</v>
      </c>
      <c r="F13" s="2"/>
      <c r="G13" s="17">
        <v>3</v>
      </c>
      <c r="H13" s="16">
        <f t="shared" si="2"/>
        <v>56.8</v>
      </c>
      <c r="I13" s="16">
        <f t="shared" si="0"/>
        <v>60.199999999999996</v>
      </c>
      <c r="J13" s="16">
        <f>COUNTIFS('1'!$C$2:$C$201,"&gt;="&amp;H13,'1'!$C$2:$C$201,"&lt;"&amp;I13)</f>
        <v>27</v>
      </c>
    </row>
    <row r="14" spans="1:10">
      <c r="A14" s="2"/>
      <c r="B14" s="14">
        <v>4</v>
      </c>
      <c r="C14" s="16">
        <f t="shared" si="3"/>
        <v>165.29999999999998</v>
      </c>
      <c r="D14" s="16">
        <f t="shared" si="1"/>
        <v>168.39999999999998</v>
      </c>
      <c r="E14" s="16">
        <v>35</v>
      </c>
      <c r="F14" s="2"/>
      <c r="G14" s="17">
        <v>4</v>
      </c>
      <c r="H14" s="16">
        <f t="shared" si="2"/>
        <v>60.199999999999996</v>
      </c>
      <c r="I14" s="16">
        <f t="shared" si="0"/>
        <v>63.599999999999994</v>
      </c>
      <c r="J14" s="16">
        <f>COUNTIFS('1'!$C$2:$C$201,"&gt;="&amp;H14,'1'!$C$2:$C$201,"&lt;"&amp;I14)</f>
        <v>40</v>
      </c>
    </row>
    <row r="15" spans="1:10">
      <c r="A15" s="2"/>
      <c r="B15" s="14">
        <v>5</v>
      </c>
      <c r="C15" s="16">
        <f t="shared" si="3"/>
        <v>168.39999999999998</v>
      </c>
      <c r="D15" s="16">
        <f t="shared" si="1"/>
        <v>171.49999999999997</v>
      </c>
      <c r="E15" s="16">
        <v>54</v>
      </c>
      <c r="F15" s="2"/>
      <c r="G15" s="17">
        <v>5</v>
      </c>
      <c r="H15" s="16">
        <f t="shared" si="2"/>
        <v>63.599999999999994</v>
      </c>
      <c r="I15" s="16">
        <f t="shared" si="0"/>
        <v>67</v>
      </c>
      <c r="J15" s="16">
        <f>COUNTIFS('1'!$C$2:$C$201,"&gt;="&amp;H15,'1'!$C$2:$C$201,"&lt;"&amp;I15)</f>
        <v>36</v>
      </c>
    </row>
    <row r="16" spans="1:10">
      <c r="A16" s="2"/>
      <c r="B16" s="14">
        <v>6</v>
      </c>
      <c r="C16" s="16">
        <f t="shared" si="3"/>
        <v>171.49999999999997</v>
      </c>
      <c r="D16" s="16">
        <f t="shared" si="1"/>
        <v>174.59999999999997</v>
      </c>
      <c r="E16" s="16">
        <v>37</v>
      </c>
      <c r="F16" s="2"/>
      <c r="G16" s="17">
        <v>6</v>
      </c>
      <c r="H16" s="16">
        <f t="shared" si="2"/>
        <v>67</v>
      </c>
      <c r="I16" s="16">
        <f t="shared" si="0"/>
        <v>70.400000000000006</v>
      </c>
      <c r="J16" s="16">
        <f>COUNTIFS('1'!$C$2:$C$201,"&gt;="&amp;H16,'1'!$C$2:$C$201,"&lt;"&amp;I16)</f>
        <v>45</v>
      </c>
    </row>
    <row r="17" spans="1:10">
      <c r="A17" s="2"/>
      <c r="B17" s="14">
        <v>7</v>
      </c>
      <c r="C17" s="16">
        <f t="shared" si="3"/>
        <v>174.59999999999997</v>
      </c>
      <c r="D17" s="16">
        <f t="shared" si="1"/>
        <v>177.69999999999996</v>
      </c>
      <c r="E17" s="16">
        <v>12</v>
      </c>
      <c r="F17" s="2"/>
      <c r="G17" s="17">
        <v>7</v>
      </c>
      <c r="H17" s="16">
        <f t="shared" si="2"/>
        <v>70.400000000000006</v>
      </c>
      <c r="I17" s="16">
        <f t="shared" si="0"/>
        <v>73.800000000000011</v>
      </c>
      <c r="J17" s="16">
        <f>COUNTIFS('1'!$C$2:$C$201,"&gt;="&amp;H17,'1'!$C$2:$C$201,"&lt;"&amp;I17)</f>
        <v>12</v>
      </c>
    </row>
    <row r="18" spans="1:10">
      <c r="A18" s="2"/>
      <c r="B18" s="14">
        <v>8</v>
      </c>
      <c r="C18" s="16">
        <f t="shared" si="3"/>
        <v>177.69999999999996</v>
      </c>
      <c r="D18" s="16">
        <f t="shared" si="1"/>
        <v>180.79999999999995</v>
      </c>
      <c r="E18" s="16">
        <v>10</v>
      </c>
      <c r="F18" s="2"/>
      <c r="G18" s="17">
        <v>8</v>
      </c>
      <c r="H18" s="16">
        <f t="shared" si="2"/>
        <v>73.800000000000011</v>
      </c>
      <c r="I18" s="16">
        <f t="shared" si="0"/>
        <v>77.200000000000017</v>
      </c>
      <c r="J18" s="16">
        <f>COUNTIFS('1'!$C$2:$C$201,"&gt;="&amp;H18,'1'!$C$2:$C$201,"&lt;"&amp;I18)</f>
        <v>15</v>
      </c>
    </row>
    <row r="19" spans="1:10">
      <c r="A19" s="2"/>
      <c r="B19" s="14">
        <v>9</v>
      </c>
      <c r="C19" s="16">
        <f t="shared" si="3"/>
        <v>180.79999999999995</v>
      </c>
      <c r="D19" s="16">
        <f t="shared" si="1"/>
        <v>183.89999999999995</v>
      </c>
      <c r="E19" s="16">
        <v>1</v>
      </c>
      <c r="F19" s="2"/>
      <c r="G19" s="17">
        <v>9</v>
      </c>
      <c r="H19" s="16">
        <f t="shared" si="2"/>
        <v>77.200000000000017</v>
      </c>
      <c r="I19" s="16">
        <f t="shared" si="0"/>
        <v>80.600000000000023</v>
      </c>
      <c r="J19" s="16">
        <f>COUNTIFS('1'!$C$2:$C$201,"&gt;="&amp;H19,'1'!$C$2:$C$201,"&lt;"&amp;I19)</f>
        <v>6</v>
      </c>
    </row>
    <row r="20" spans="1:10">
      <c r="A20" s="2"/>
      <c r="B20" s="17">
        <v>10</v>
      </c>
      <c r="C20" s="16">
        <f t="shared" si="3"/>
        <v>183.89999999999995</v>
      </c>
      <c r="D20" s="16">
        <f t="shared" si="1"/>
        <v>186.99999999999994</v>
      </c>
      <c r="E20" s="16">
        <v>3</v>
      </c>
      <c r="F20" s="2"/>
      <c r="G20" s="17">
        <v>10</v>
      </c>
      <c r="H20" s="16">
        <f t="shared" si="2"/>
        <v>80.600000000000023</v>
      </c>
      <c r="I20" s="16">
        <f t="shared" si="0"/>
        <v>84.000000000000028</v>
      </c>
      <c r="J20" s="16">
        <f>COUNTIFS('1'!$C$2:$C$201,"&gt;="&amp;H20,'1'!$C$2:$C$201,"&lt;="&amp;I20)</f>
        <v>4</v>
      </c>
    </row>
  </sheetData>
  <mergeCells count="4">
    <mergeCell ref="C9:E9"/>
    <mergeCell ref="H9:J9"/>
    <mergeCell ref="B9:B10"/>
    <mergeCell ref="G9:G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194A-6898-7F46-BF15-15A0B7767201}">
  <sheetPr codeName="Лист3"/>
  <dimension ref="A1:E16"/>
  <sheetViews>
    <sheetView topLeftCell="A10" zoomScale="119" workbookViewId="0">
      <selection activeCell="D6" sqref="D6"/>
    </sheetView>
  </sheetViews>
  <sheetFormatPr baseColWidth="10" defaultRowHeight="16"/>
  <cols>
    <col min="1" max="2" width="10.83203125" customWidth="1"/>
  </cols>
  <sheetData>
    <row r="1" spans="1:5" ht="68" customHeight="1">
      <c r="A1" s="26" t="s">
        <v>10</v>
      </c>
      <c r="B1" s="26"/>
      <c r="C1" s="26"/>
      <c r="D1" s="22"/>
      <c r="E1" s="22"/>
    </row>
    <row r="2" spans="1:5" ht="16" customHeight="1"/>
    <row r="4" spans="1:5">
      <c r="A4" s="27" t="s">
        <v>9</v>
      </c>
      <c r="B4" s="29" t="s">
        <v>1</v>
      </c>
      <c r="C4" s="30"/>
      <c r="D4" s="30"/>
      <c r="E4" s="31"/>
    </row>
    <row r="5" spans="1:5" ht="26" customHeight="1">
      <c r="A5" s="27"/>
      <c r="B5" s="32"/>
      <c r="C5" s="32"/>
      <c r="D5" s="32"/>
      <c r="E5" s="32"/>
    </row>
    <row r="6" spans="1:5">
      <c r="A6" s="14">
        <v>1</v>
      </c>
      <c r="B6" s="16">
        <f>'2'!E11</f>
        <v>9</v>
      </c>
      <c r="C6" s="16">
        <f>B6/$B$16</f>
        <v>4.4999999999999998E-2</v>
      </c>
      <c r="D6" s="16">
        <f>AVERAGE('2'!C11:D11)</f>
        <v>157.55000000000001</v>
      </c>
      <c r="E6" s="16">
        <f>C6</f>
        <v>4.4999999999999998E-2</v>
      </c>
    </row>
    <row r="7" spans="1:5">
      <c r="A7" s="14">
        <v>2</v>
      </c>
      <c r="B7" s="16">
        <f>'2'!E12</f>
        <v>11</v>
      </c>
      <c r="C7" s="16">
        <f t="shared" ref="C7:C15" si="0">B7/$B$16</f>
        <v>5.5E-2</v>
      </c>
      <c r="D7" s="16">
        <f>AVERAGE('2'!C12:D12)</f>
        <v>160.64999999999998</v>
      </c>
      <c r="E7" s="16">
        <f>E6 + C7</f>
        <v>0.1</v>
      </c>
    </row>
    <row r="8" spans="1:5">
      <c r="A8" s="14">
        <v>3</v>
      </c>
      <c r="B8" s="16">
        <f>'2'!E13</f>
        <v>28</v>
      </c>
      <c r="C8" s="16">
        <f t="shared" si="0"/>
        <v>0.14000000000000001</v>
      </c>
      <c r="D8" s="16">
        <f>AVERAGE('2'!C13:D13)</f>
        <v>163.75</v>
      </c>
      <c r="E8" s="16">
        <f t="shared" ref="E8:E15" si="1">E7 + C8</f>
        <v>0.24000000000000002</v>
      </c>
    </row>
    <row r="9" spans="1:5">
      <c r="A9" s="14">
        <v>4</v>
      </c>
      <c r="B9" s="16">
        <f>'2'!E14</f>
        <v>35</v>
      </c>
      <c r="C9" s="16">
        <f t="shared" si="0"/>
        <v>0.17499999999999999</v>
      </c>
      <c r="D9" s="16">
        <f>AVERAGE('2'!C14:D14)</f>
        <v>166.84999999999997</v>
      </c>
      <c r="E9" s="16">
        <f t="shared" si="1"/>
        <v>0.41500000000000004</v>
      </c>
    </row>
    <row r="10" spans="1:5">
      <c r="A10" s="14">
        <v>5</v>
      </c>
      <c r="B10" s="16">
        <f>'2'!E15</f>
        <v>54</v>
      </c>
      <c r="C10" s="16">
        <f t="shared" si="0"/>
        <v>0.27</v>
      </c>
      <c r="D10" s="16">
        <f>AVERAGE('2'!C15:D15)</f>
        <v>169.95</v>
      </c>
      <c r="E10" s="16">
        <f t="shared" si="1"/>
        <v>0.68500000000000005</v>
      </c>
    </row>
    <row r="11" spans="1:5">
      <c r="A11" s="14">
        <v>6</v>
      </c>
      <c r="B11" s="16">
        <f>'2'!E16</f>
        <v>37</v>
      </c>
      <c r="C11" s="16">
        <f t="shared" si="0"/>
        <v>0.185</v>
      </c>
      <c r="D11" s="16">
        <f>AVERAGE('2'!C16:D16)</f>
        <v>173.04999999999995</v>
      </c>
      <c r="E11" s="16">
        <f t="shared" si="1"/>
        <v>0.87000000000000011</v>
      </c>
    </row>
    <row r="12" spans="1:5">
      <c r="A12" s="14">
        <v>7</v>
      </c>
      <c r="B12" s="16">
        <f>'2'!E17</f>
        <v>12</v>
      </c>
      <c r="C12" s="16">
        <f t="shared" si="0"/>
        <v>0.06</v>
      </c>
      <c r="D12" s="16">
        <f>AVERAGE('2'!C17:D17)</f>
        <v>176.14999999999998</v>
      </c>
      <c r="E12" s="16">
        <f t="shared" si="1"/>
        <v>0.93000000000000016</v>
      </c>
    </row>
    <row r="13" spans="1:5">
      <c r="A13" s="14">
        <v>8</v>
      </c>
      <c r="B13" s="16">
        <f>'2'!E18</f>
        <v>10</v>
      </c>
      <c r="C13" s="16">
        <f t="shared" si="0"/>
        <v>0.05</v>
      </c>
      <c r="D13" s="16">
        <f>AVERAGE('2'!C18:D18)</f>
        <v>179.24999999999994</v>
      </c>
      <c r="E13" s="16">
        <f t="shared" si="1"/>
        <v>0.9800000000000002</v>
      </c>
    </row>
    <row r="14" spans="1:5">
      <c r="A14" s="14">
        <v>9</v>
      </c>
      <c r="B14" s="16">
        <f>'2'!E19</f>
        <v>1</v>
      </c>
      <c r="C14" s="16">
        <f t="shared" si="0"/>
        <v>5.0000000000000001E-3</v>
      </c>
      <c r="D14" s="16">
        <f>AVERAGE('2'!C19:D19)</f>
        <v>182.34999999999997</v>
      </c>
      <c r="E14" s="16">
        <f t="shared" si="1"/>
        <v>0.98500000000000021</v>
      </c>
    </row>
    <row r="15" spans="1:5">
      <c r="A15" s="14">
        <v>10</v>
      </c>
      <c r="B15" s="16">
        <f>'2'!E20</f>
        <v>3</v>
      </c>
      <c r="C15" s="16">
        <f t="shared" si="0"/>
        <v>1.4999999999999999E-2</v>
      </c>
      <c r="D15" s="16">
        <f>AVERAGE('2'!C20:D20)</f>
        <v>185.44999999999993</v>
      </c>
      <c r="E15" s="16">
        <f t="shared" si="1"/>
        <v>1.0000000000000002</v>
      </c>
    </row>
    <row r="16" spans="1:5">
      <c r="A16" s="28"/>
      <c r="B16" s="33">
        <f>SUM(B6:B15)</f>
        <v>200</v>
      </c>
      <c r="C16" s="33">
        <f>SUM(C6:C15)</f>
        <v>1.0000000000000002</v>
      </c>
    </row>
  </sheetData>
  <mergeCells count="4">
    <mergeCell ref="B4:E4"/>
    <mergeCell ref="A1:C1"/>
    <mergeCell ref="D1:E1"/>
    <mergeCell ref="A4:A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8C34-45C3-DC4F-9E33-C125444DF14B}">
  <dimension ref="A1:N25"/>
  <sheetViews>
    <sheetView topLeftCell="A4" zoomScale="150" zoomScaleNormal="131" workbookViewId="0">
      <selection activeCell="K25" sqref="K25"/>
    </sheetView>
  </sheetViews>
  <sheetFormatPr baseColWidth="10" defaultRowHeight="16"/>
  <cols>
    <col min="1" max="1" width="19.83203125" customWidth="1"/>
    <col min="2" max="2" width="16.5" customWidth="1"/>
    <col min="5" max="5" width="11.83203125" bestFit="1" customWidth="1"/>
  </cols>
  <sheetData>
    <row r="1" spans="1:14" ht="46" customHeight="1">
      <c r="A1" s="35"/>
      <c r="B1" s="36" t="s">
        <v>11</v>
      </c>
    </row>
    <row r="2" spans="1:14" ht="30">
      <c r="A2" s="1"/>
      <c r="B2" s="36" t="s">
        <v>12</v>
      </c>
    </row>
    <row r="3" spans="1:14" ht="55" customHeight="1">
      <c r="A3" s="1"/>
      <c r="B3" s="36" t="s">
        <v>13</v>
      </c>
    </row>
    <row r="4" spans="1:14" ht="69" customHeight="1">
      <c r="A4" s="1"/>
      <c r="B4" s="36" t="s">
        <v>14</v>
      </c>
    </row>
    <row r="7" spans="1:14">
      <c r="C7" s="27" t="s">
        <v>9</v>
      </c>
      <c r="D7" s="29" t="s">
        <v>1</v>
      </c>
      <c r="E7" s="30"/>
      <c r="F7" s="30"/>
      <c r="G7" s="31"/>
      <c r="J7" s="27" t="s">
        <v>9</v>
      </c>
      <c r="K7" s="29" t="s">
        <v>2</v>
      </c>
      <c r="L7" s="30"/>
      <c r="M7" s="30"/>
      <c r="N7" s="31"/>
    </row>
    <row r="8" spans="1:14">
      <c r="C8" s="27"/>
      <c r="D8" s="32"/>
      <c r="E8" s="32"/>
      <c r="F8" s="32"/>
      <c r="G8" s="32"/>
      <c r="J8" s="27"/>
      <c r="K8" s="32"/>
      <c r="L8" s="32"/>
      <c r="M8" s="32"/>
      <c r="N8" s="32"/>
    </row>
    <row r="9" spans="1:14">
      <c r="C9" s="14">
        <v>1</v>
      </c>
      <c r="D9" s="16">
        <f>'3'!B6</f>
        <v>9</v>
      </c>
      <c r="E9" s="16">
        <f>'3'!D6</f>
        <v>157.55000000000001</v>
      </c>
      <c r="F9" s="16">
        <f>PRODUCT(D9,E9)</f>
        <v>1417.95</v>
      </c>
      <c r="G9" s="16">
        <f>PRODUCT(F9,E9)</f>
        <v>223398.02250000002</v>
      </c>
      <c r="J9" s="14">
        <v>1</v>
      </c>
      <c r="K9" s="16">
        <f>'2'!J11</f>
        <v>6</v>
      </c>
      <c r="L9" s="16">
        <f>AVERAGE('2'!H11,'2'!I11)</f>
        <v>51.7</v>
      </c>
      <c r="M9" s="16">
        <f>PRODUCT(K9,L9)</f>
        <v>310.20000000000005</v>
      </c>
      <c r="N9" s="16">
        <f>PRODUCT(L9,M9)</f>
        <v>16037.340000000004</v>
      </c>
    </row>
    <row r="10" spans="1:14">
      <c r="C10" s="14">
        <v>2</v>
      </c>
      <c r="D10" s="16">
        <f>'3'!B7</f>
        <v>11</v>
      </c>
      <c r="E10" s="16">
        <f>'3'!D7</f>
        <v>160.64999999999998</v>
      </c>
      <c r="F10" s="16">
        <f>PRODUCT(D10,E10)</f>
        <v>1767.1499999999996</v>
      </c>
      <c r="G10" s="16">
        <f>PRODUCT(F10,E10)</f>
        <v>283892.6474999999</v>
      </c>
      <c r="J10" s="14">
        <v>2</v>
      </c>
      <c r="K10" s="16">
        <f>'2'!J12</f>
        <v>9</v>
      </c>
      <c r="L10" s="16">
        <f>AVERAGE('2'!H12,'2'!I12)</f>
        <v>55.099999999999994</v>
      </c>
      <c r="M10" s="16">
        <f>PRODUCT(K10,L10)</f>
        <v>495.9</v>
      </c>
      <c r="N10" s="16">
        <f>PRODUCT(L10,M10)</f>
        <v>27324.089999999997</v>
      </c>
    </row>
    <row r="11" spans="1:14">
      <c r="C11" s="14">
        <v>3</v>
      </c>
      <c r="D11" s="16">
        <f>'3'!B8</f>
        <v>28</v>
      </c>
      <c r="E11" s="16">
        <f>'3'!D8</f>
        <v>163.75</v>
      </c>
      <c r="F11" s="16">
        <f t="shared" ref="F11:F18" si="0">PRODUCT(D11,E11)</f>
        <v>4585</v>
      </c>
      <c r="G11" s="16">
        <f t="shared" ref="G11:G18" si="1">PRODUCT(F11,E11)</f>
        <v>750793.75</v>
      </c>
      <c r="J11" s="14">
        <v>3</v>
      </c>
      <c r="K11" s="16">
        <f>'2'!J13</f>
        <v>27</v>
      </c>
      <c r="L11" s="16">
        <f>AVERAGE('2'!H13,'2'!I13)</f>
        <v>58.5</v>
      </c>
      <c r="M11" s="16">
        <f t="shared" ref="M11:M18" si="2">PRODUCT(K11,L11)</f>
        <v>1579.5</v>
      </c>
      <c r="N11" s="16">
        <f t="shared" ref="N11:N18" si="3">PRODUCT(L11,M11)</f>
        <v>92400.75</v>
      </c>
    </row>
    <row r="12" spans="1:14">
      <c r="C12" s="14">
        <v>4</v>
      </c>
      <c r="D12" s="16">
        <f>'3'!B9</f>
        <v>35</v>
      </c>
      <c r="E12" s="16">
        <f>'3'!D9</f>
        <v>166.84999999999997</v>
      </c>
      <c r="F12" s="16">
        <f t="shared" si="0"/>
        <v>5839.7499999999991</v>
      </c>
      <c r="G12" s="16">
        <f t="shared" si="1"/>
        <v>974362.28749999963</v>
      </c>
      <c r="J12" s="14">
        <v>4</v>
      </c>
      <c r="K12" s="16">
        <f>'2'!J14</f>
        <v>40</v>
      </c>
      <c r="L12" s="16">
        <f>AVERAGE('2'!H14,'2'!I14)</f>
        <v>61.899999999999991</v>
      </c>
      <c r="M12" s="16">
        <f t="shared" si="2"/>
        <v>2475.9999999999995</v>
      </c>
      <c r="N12" s="16">
        <f t="shared" si="3"/>
        <v>153264.39999999997</v>
      </c>
    </row>
    <row r="13" spans="1:14">
      <c r="C13" s="14">
        <v>5</v>
      </c>
      <c r="D13" s="16">
        <f>'3'!B10</f>
        <v>54</v>
      </c>
      <c r="E13" s="16">
        <f>'3'!D10</f>
        <v>169.95</v>
      </c>
      <c r="F13" s="16">
        <f t="shared" si="0"/>
        <v>9177.2999999999993</v>
      </c>
      <c r="G13" s="16">
        <f t="shared" si="1"/>
        <v>1559682.1349999998</v>
      </c>
      <c r="J13" s="14">
        <v>5</v>
      </c>
      <c r="K13" s="16">
        <f>'2'!J15</f>
        <v>36</v>
      </c>
      <c r="L13" s="16">
        <f>AVERAGE('2'!H15,'2'!I15)</f>
        <v>65.3</v>
      </c>
      <c r="M13" s="16">
        <f t="shared" si="2"/>
        <v>2350.7999999999997</v>
      </c>
      <c r="N13" s="16">
        <f t="shared" si="3"/>
        <v>153507.23999999996</v>
      </c>
    </row>
    <row r="14" spans="1:14">
      <c r="C14" s="14">
        <v>6</v>
      </c>
      <c r="D14" s="16">
        <f>'3'!B11</f>
        <v>37</v>
      </c>
      <c r="E14" s="16">
        <f>'3'!D11</f>
        <v>173.04999999999995</v>
      </c>
      <c r="F14" s="16">
        <f t="shared" si="0"/>
        <v>6402.8499999999985</v>
      </c>
      <c r="G14" s="16">
        <f t="shared" si="1"/>
        <v>1108013.1924999994</v>
      </c>
      <c r="J14" s="14">
        <v>6</v>
      </c>
      <c r="K14" s="16">
        <f>'2'!J16</f>
        <v>45</v>
      </c>
      <c r="L14" s="16">
        <f>AVERAGE('2'!H16,'2'!I16)</f>
        <v>68.7</v>
      </c>
      <c r="M14" s="16">
        <f t="shared" si="2"/>
        <v>3091.5</v>
      </c>
      <c r="N14" s="16">
        <f t="shared" si="3"/>
        <v>212386.05000000002</v>
      </c>
    </row>
    <row r="15" spans="1:14">
      <c r="C15" s="14">
        <v>7</v>
      </c>
      <c r="D15" s="16">
        <f>'3'!B12</f>
        <v>12</v>
      </c>
      <c r="E15" s="16">
        <f>'3'!D12</f>
        <v>176.14999999999998</v>
      </c>
      <c r="F15" s="16">
        <f t="shared" si="0"/>
        <v>2113.7999999999997</v>
      </c>
      <c r="G15" s="16">
        <f t="shared" si="1"/>
        <v>372345.86999999988</v>
      </c>
      <c r="J15" s="14">
        <v>7</v>
      </c>
      <c r="K15" s="16">
        <f>'2'!J17</f>
        <v>12</v>
      </c>
      <c r="L15" s="16">
        <f>AVERAGE('2'!H17,'2'!I17)</f>
        <v>72.100000000000009</v>
      </c>
      <c r="M15" s="16">
        <f t="shared" si="2"/>
        <v>865.2</v>
      </c>
      <c r="N15" s="16">
        <f t="shared" si="3"/>
        <v>62380.920000000013</v>
      </c>
    </row>
    <row r="16" spans="1:14">
      <c r="C16" s="14">
        <v>8</v>
      </c>
      <c r="D16" s="16">
        <f>'3'!B13</f>
        <v>10</v>
      </c>
      <c r="E16" s="16">
        <f>'3'!D13</f>
        <v>179.24999999999994</v>
      </c>
      <c r="F16" s="16">
        <f t="shared" si="0"/>
        <v>1792.4999999999995</v>
      </c>
      <c r="G16" s="16">
        <f t="shared" si="1"/>
        <v>321305.62499999983</v>
      </c>
      <c r="J16" s="14">
        <v>8</v>
      </c>
      <c r="K16" s="16">
        <f>'2'!J18</f>
        <v>15</v>
      </c>
      <c r="L16" s="16">
        <f>AVERAGE('2'!H18,'2'!I18)</f>
        <v>75.500000000000014</v>
      </c>
      <c r="M16" s="16">
        <f t="shared" si="2"/>
        <v>1132.5000000000002</v>
      </c>
      <c r="N16" s="16">
        <f t="shared" si="3"/>
        <v>85503.750000000029</v>
      </c>
    </row>
    <row r="17" spans="3:14">
      <c r="C17" s="14">
        <v>9</v>
      </c>
      <c r="D17" s="16">
        <f>'3'!B14</f>
        <v>1</v>
      </c>
      <c r="E17" s="16">
        <f>'3'!D14</f>
        <v>182.34999999999997</v>
      </c>
      <c r="F17" s="16">
        <f t="shared" si="0"/>
        <v>182.34999999999997</v>
      </c>
      <c r="G17" s="16">
        <f t="shared" si="1"/>
        <v>33251.522499999985</v>
      </c>
      <c r="J17" s="14">
        <v>9</v>
      </c>
      <c r="K17" s="16">
        <f>'2'!J19</f>
        <v>6</v>
      </c>
      <c r="L17" s="16">
        <f>AVERAGE('2'!H19,'2'!I19)</f>
        <v>78.90000000000002</v>
      </c>
      <c r="M17" s="16">
        <f t="shared" si="2"/>
        <v>473.40000000000009</v>
      </c>
      <c r="N17" s="16">
        <f t="shared" si="3"/>
        <v>37351.260000000017</v>
      </c>
    </row>
    <row r="18" spans="3:14">
      <c r="C18" s="14">
        <v>10</v>
      </c>
      <c r="D18" s="16">
        <f>'3'!B15</f>
        <v>3</v>
      </c>
      <c r="E18" s="16">
        <f>'3'!D15</f>
        <v>185.44999999999993</v>
      </c>
      <c r="F18" s="16">
        <f t="shared" si="0"/>
        <v>556.3499999999998</v>
      </c>
      <c r="G18" s="16">
        <f t="shared" si="1"/>
        <v>103175.10749999993</v>
      </c>
      <c r="J18" s="14">
        <v>10</v>
      </c>
      <c r="K18" s="16">
        <f>'2'!J20</f>
        <v>4</v>
      </c>
      <c r="L18" s="16">
        <f>AVERAGE('2'!H20,'2'!I20)</f>
        <v>82.300000000000026</v>
      </c>
      <c r="M18" s="16">
        <f t="shared" si="2"/>
        <v>329.2000000000001</v>
      </c>
      <c r="N18" s="16">
        <f t="shared" si="3"/>
        <v>27093.160000000018</v>
      </c>
    </row>
    <row r="19" spans="3:14">
      <c r="C19" s="28"/>
      <c r="D19" s="33">
        <f>SUM(D9:D18)</f>
        <v>200</v>
      </c>
      <c r="E19" s="38"/>
      <c r="F19" s="44">
        <f>SUM(F9:F18)</f>
        <v>33834.999999999993</v>
      </c>
      <c r="G19" s="44">
        <f>SUM(G9:G18)</f>
        <v>5730220.1599999983</v>
      </c>
      <c r="J19" s="28"/>
      <c r="K19" s="33">
        <f>SUM(K9:K18)</f>
        <v>200</v>
      </c>
      <c r="L19" s="38"/>
      <c r="M19" s="44">
        <f>SUM(M9:M18)</f>
        <v>13104.2</v>
      </c>
      <c r="N19" s="44">
        <f>SUM(N9:N18)</f>
        <v>867248.96000000008</v>
      </c>
    </row>
    <row r="20" spans="3:14" ht="28" customHeight="1" thickBot="1">
      <c r="C20" s="41"/>
      <c r="D20" s="42"/>
      <c r="E20" s="42"/>
      <c r="F20" s="45">
        <f>F19/D19</f>
        <v>169.17499999999995</v>
      </c>
      <c r="G20" s="45">
        <f>G19/D19</f>
        <v>28651.100799999993</v>
      </c>
      <c r="J20" s="41"/>
      <c r="K20" s="42"/>
      <c r="L20" s="42"/>
      <c r="M20" s="45">
        <f>M19/K19</f>
        <v>65.521000000000001</v>
      </c>
      <c r="N20" s="45">
        <f>N19/K19</f>
        <v>4336.2448000000004</v>
      </c>
    </row>
    <row r="21" spans="3:14">
      <c r="C21" s="40"/>
      <c r="D21" s="46">
        <f>$F$20</f>
        <v>169.17499999999995</v>
      </c>
      <c r="J21" s="40"/>
      <c r="K21" s="46">
        <f>$M$20</f>
        <v>65.521000000000001</v>
      </c>
    </row>
    <row r="22" spans="3:14">
      <c r="C22" s="39"/>
      <c r="D22" s="46">
        <f>$G$20-PRODUCT(F20,F20)</f>
        <v>30.920175000006566</v>
      </c>
      <c r="J22" s="39"/>
      <c r="K22" s="46">
        <f>N20-PRODUCT(M20,M20)</f>
        <v>43.243359000000055</v>
      </c>
    </row>
    <row r="23" spans="3:14">
      <c r="C23" s="39"/>
      <c r="D23" s="46">
        <f>PRODUCT(D19/(D19 - 1),D22)</f>
        <v>31.075552763825691</v>
      </c>
      <c r="J23" s="39"/>
      <c r="K23" s="46">
        <f>PRODUCT(K19/(K19-1),K22)</f>
        <v>43.46066231155784</v>
      </c>
    </row>
    <row r="24" spans="3:14">
      <c r="C24" s="39"/>
      <c r="D24" s="46">
        <f>SQRT(D23)</f>
        <v>5.5745450723647121</v>
      </c>
      <c r="J24" s="39"/>
      <c r="K24" s="46">
        <f>SQRT(K23)</f>
        <v>6.5924701221589048</v>
      </c>
    </row>
    <row r="25" spans="3:14">
      <c r="C25" s="39"/>
      <c r="D25" s="46">
        <f>E13</f>
        <v>169.95</v>
      </c>
      <c r="J25" s="39"/>
      <c r="K25" s="46">
        <f>L14</f>
        <v>68.7</v>
      </c>
    </row>
  </sheetData>
  <mergeCells count="4">
    <mergeCell ref="C7:C8"/>
    <mergeCell ref="D7:G7"/>
    <mergeCell ref="J7:J8"/>
    <mergeCell ref="K7:N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5767-35BF-3642-9744-88121CCD13E0}">
  <dimension ref="A1:D7"/>
  <sheetViews>
    <sheetView zoomScale="142" workbookViewId="0">
      <selection activeCell="E22" sqref="E22"/>
    </sheetView>
  </sheetViews>
  <sheetFormatPr baseColWidth="10" defaultRowHeight="16"/>
  <sheetData>
    <row r="1" spans="1:4">
      <c r="A1" s="81" t="s">
        <v>15</v>
      </c>
      <c r="B1" s="82"/>
      <c r="C1" s="82"/>
      <c r="D1" s="82"/>
    </row>
    <row r="2" spans="1:4">
      <c r="A2" s="48" t="s">
        <v>1</v>
      </c>
      <c r="B2" s="49"/>
      <c r="C2" s="51" t="s">
        <v>2</v>
      </c>
      <c r="D2" s="52"/>
    </row>
    <row r="3" spans="1:4">
      <c r="A3" s="46"/>
      <c r="B3" s="34">
        <f>AVERAGE('1'!B2:B201)</f>
        <v>169.285</v>
      </c>
      <c r="C3" s="50"/>
      <c r="D3" s="21">
        <f>AVERAGE('1'!C2:C201)</f>
        <v>65.5</v>
      </c>
    </row>
    <row r="4" spans="1:4">
      <c r="A4" s="46"/>
      <c r="B4" s="34">
        <f>_xlfn.VAR.P('1'!B2:B201)</f>
        <v>30.673774999999967</v>
      </c>
      <c r="C4" s="50"/>
      <c r="D4" s="21">
        <f>_xlfn.VAR.P('1'!C2:C201)</f>
        <v>42.23</v>
      </c>
    </row>
    <row r="5" spans="1:4">
      <c r="A5" s="46"/>
      <c r="B5" s="34">
        <f>_xlfn.VAR.S('1'!B2:B201)</f>
        <v>30.827914572864291</v>
      </c>
      <c r="C5" s="50"/>
      <c r="D5" s="21">
        <f>_xlfn.VAR.S('1'!C2:C201)</f>
        <v>42.442211055276381</v>
      </c>
    </row>
    <row r="6" spans="1:4">
      <c r="A6" s="46"/>
      <c r="B6" s="34">
        <f>_xlfn.STDEV.S('1'!B2:B201)</f>
        <v>5.5522891290767893</v>
      </c>
      <c r="C6" s="50"/>
      <c r="D6" s="21">
        <f>_xlfn.STDEV.S('1'!C2:C201)</f>
        <v>6.514768687779819</v>
      </c>
    </row>
    <row r="7" spans="1:4">
      <c r="A7" s="46"/>
      <c r="B7" s="34">
        <f>MEDIAN('1'!B2:B201)</f>
        <v>170</v>
      </c>
      <c r="C7" s="50"/>
      <c r="D7" s="21">
        <f>MEDIAN('1'!C2:C201)</f>
        <v>65</v>
      </c>
    </row>
  </sheetData>
  <mergeCells count="3">
    <mergeCell ref="A2:B2"/>
    <mergeCell ref="C2:D2"/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1401-F82E-254B-9FC7-367BF878A337}">
  <dimension ref="A1:M33"/>
  <sheetViews>
    <sheetView zoomScale="88" zoomScaleNormal="100" workbookViewId="0">
      <selection activeCell="H15" sqref="H15"/>
    </sheetView>
  </sheetViews>
  <sheetFormatPr baseColWidth="10" defaultRowHeight="16"/>
  <cols>
    <col min="1" max="1" width="10.83203125" customWidth="1"/>
    <col min="2" max="2" width="17.33203125" customWidth="1"/>
    <col min="4" max="4" width="19.6640625" customWidth="1"/>
    <col min="5" max="6" width="11.6640625" customWidth="1"/>
    <col min="8" max="8" width="11" bestFit="1" customWidth="1"/>
    <col min="9" max="9" width="11.83203125" bestFit="1" customWidth="1"/>
    <col min="10" max="13" width="11.33203125" bestFit="1" customWidth="1"/>
  </cols>
  <sheetData>
    <row r="1" spans="1:13">
      <c r="A1" s="56" t="s">
        <v>16</v>
      </c>
      <c r="B1" s="57"/>
      <c r="H1" s="61" t="s">
        <v>9</v>
      </c>
      <c r="I1" s="15"/>
      <c r="J1" s="15"/>
      <c r="K1" s="15"/>
      <c r="L1" s="15"/>
      <c r="M1" s="15"/>
    </row>
    <row r="2" spans="1:13" ht="28" customHeight="1">
      <c r="A2" s="54">
        <v>200</v>
      </c>
      <c r="B2" s="36" t="s">
        <v>17</v>
      </c>
      <c r="H2" s="62">
        <v>1</v>
      </c>
      <c r="I2" s="63">
        <f>'4'!D9</f>
        <v>9</v>
      </c>
      <c r="J2" s="63">
        <f>'4'!E9</f>
        <v>157.55000000000001</v>
      </c>
      <c r="K2" s="16">
        <f>J2-$A$4</f>
        <v>-12.449999999999989</v>
      </c>
      <c r="L2" s="16">
        <f>K2^2</f>
        <v>155.00249999999971</v>
      </c>
      <c r="M2" s="16">
        <f>L2*I2</f>
        <v>1395.0224999999973</v>
      </c>
    </row>
    <row r="3" spans="1:13" ht="20" customHeight="1">
      <c r="A3" s="54">
        <v>36</v>
      </c>
      <c r="B3" s="36" t="s">
        <v>22</v>
      </c>
      <c r="H3" s="62">
        <v>2</v>
      </c>
      <c r="I3" s="16">
        <f>'4'!D10</f>
        <v>11</v>
      </c>
      <c r="J3" s="63">
        <f>'4'!E10</f>
        <v>160.64999999999998</v>
      </c>
      <c r="K3" s="16">
        <f t="shared" ref="K3:K11" si="0">J3-$A$4</f>
        <v>-9.3500000000000227</v>
      </c>
      <c r="L3" s="16">
        <f t="shared" ref="L3:L11" si="1">K3^2</f>
        <v>87.422500000000426</v>
      </c>
      <c r="M3" s="16">
        <f t="shared" ref="M3:M11" si="2">L3*I3</f>
        <v>961.6475000000047</v>
      </c>
    </row>
    <row r="4" spans="1:13">
      <c r="A4" s="54">
        <v>170</v>
      </c>
      <c r="B4" s="36" t="s">
        <v>18</v>
      </c>
      <c r="H4" s="62">
        <v>3</v>
      </c>
      <c r="I4" s="16">
        <f>'4'!D11</f>
        <v>28</v>
      </c>
      <c r="J4" s="63">
        <f>'4'!E11</f>
        <v>163.75</v>
      </c>
      <c r="K4" s="16">
        <f t="shared" si="0"/>
        <v>-6.25</v>
      </c>
      <c r="L4" s="16">
        <f t="shared" si="1"/>
        <v>39.0625</v>
      </c>
      <c r="M4" s="16">
        <f t="shared" si="2"/>
        <v>1093.75</v>
      </c>
    </row>
    <row r="5" spans="1:13">
      <c r="A5" s="54">
        <v>0.95</v>
      </c>
      <c r="B5" s="36" t="s">
        <v>19</v>
      </c>
      <c r="H5" s="62">
        <v>4</v>
      </c>
      <c r="I5" s="16">
        <f>'4'!D12</f>
        <v>35</v>
      </c>
      <c r="J5" s="63">
        <f>'4'!E12</f>
        <v>166.84999999999997</v>
      </c>
      <c r="K5" s="16">
        <f t="shared" si="0"/>
        <v>-3.1500000000000341</v>
      </c>
      <c r="L5" s="16">
        <f t="shared" si="1"/>
        <v>9.9225000000002144</v>
      </c>
      <c r="M5" s="16">
        <f t="shared" si="2"/>
        <v>347.28750000000753</v>
      </c>
    </row>
    <row r="6" spans="1:13" ht="79" customHeight="1">
      <c r="A6" s="55">
        <f>'4'!D21</f>
        <v>169.17499999999995</v>
      </c>
      <c r="B6" s="36" t="s">
        <v>20</v>
      </c>
      <c r="H6" s="62">
        <v>5</v>
      </c>
      <c r="I6" s="16">
        <f>'4'!D13</f>
        <v>54</v>
      </c>
      <c r="J6" s="63">
        <f>'4'!E13</f>
        <v>169.95</v>
      </c>
      <c r="K6" s="16">
        <f t="shared" si="0"/>
        <v>-5.0000000000011369E-2</v>
      </c>
      <c r="L6" s="16">
        <f t="shared" si="1"/>
        <v>2.5000000000011367E-3</v>
      </c>
      <c r="M6" s="16">
        <f t="shared" si="2"/>
        <v>0.13500000000006138</v>
      </c>
    </row>
    <row r="7" spans="1:13" ht="42" customHeight="1">
      <c r="A7" s="53">
        <f>'4'!D23</f>
        <v>31.075552763825691</v>
      </c>
      <c r="B7" s="36" t="s">
        <v>21</v>
      </c>
      <c r="H7" s="62">
        <v>6</v>
      </c>
      <c r="I7" s="16">
        <f>'4'!D14</f>
        <v>37</v>
      </c>
      <c r="J7" s="63">
        <f>'4'!E14</f>
        <v>173.04999999999995</v>
      </c>
      <c r="K7" s="16">
        <f t="shared" si="0"/>
        <v>3.0499999999999545</v>
      </c>
      <c r="L7" s="16">
        <f t="shared" si="1"/>
        <v>9.3024999999997231</v>
      </c>
      <c r="M7" s="16">
        <f t="shared" si="2"/>
        <v>344.19249999998976</v>
      </c>
    </row>
    <row r="8" spans="1:13">
      <c r="H8" s="62">
        <v>7</v>
      </c>
      <c r="I8" s="16">
        <f>'4'!D15</f>
        <v>12</v>
      </c>
      <c r="J8" s="63">
        <f>'4'!E15</f>
        <v>176.14999999999998</v>
      </c>
      <c r="K8" s="16">
        <f t="shared" si="0"/>
        <v>6.1499999999999773</v>
      </c>
      <c r="L8" s="16">
        <f t="shared" si="1"/>
        <v>37.822499999999721</v>
      </c>
      <c r="M8" s="16">
        <f t="shared" si="2"/>
        <v>453.86999999999665</v>
      </c>
    </row>
    <row r="9" spans="1:13">
      <c r="H9" s="62">
        <v>8</v>
      </c>
      <c r="I9" s="16">
        <f>'4'!D16</f>
        <v>10</v>
      </c>
      <c r="J9" s="63">
        <f>'4'!E16</f>
        <v>179.24999999999994</v>
      </c>
      <c r="K9" s="16">
        <f t="shared" si="0"/>
        <v>9.2499999999999432</v>
      </c>
      <c r="L9" s="16">
        <f t="shared" si="1"/>
        <v>85.562499999998948</v>
      </c>
      <c r="M9" s="16">
        <f t="shared" si="2"/>
        <v>855.62499999998954</v>
      </c>
    </row>
    <row r="10" spans="1:13">
      <c r="D10" s="58" t="s">
        <v>25</v>
      </c>
      <c r="E10" s="58"/>
      <c r="F10" s="58"/>
      <c r="H10" s="62">
        <v>9</v>
      </c>
      <c r="I10" s="16">
        <f>'4'!D17</f>
        <v>1</v>
      </c>
      <c r="J10" s="63">
        <f>'4'!E17</f>
        <v>182.34999999999997</v>
      </c>
      <c r="K10" s="16">
        <f t="shared" si="0"/>
        <v>12.349999999999966</v>
      </c>
      <c r="L10" s="16">
        <f t="shared" si="1"/>
        <v>152.52249999999916</v>
      </c>
      <c r="M10" s="16">
        <f t="shared" si="2"/>
        <v>152.52249999999916</v>
      </c>
    </row>
    <row r="11" spans="1:13" ht="26" customHeight="1">
      <c r="D11" s="64" t="s">
        <v>26</v>
      </c>
      <c r="E11" s="65"/>
      <c r="F11" s="65"/>
      <c r="H11" s="62">
        <v>10</v>
      </c>
      <c r="I11" s="16">
        <f>'4'!D18</f>
        <v>3</v>
      </c>
      <c r="J11" s="63">
        <f>'4'!E18</f>
        <v>185.44999999999993</v>
      </c>
      <c r="K11" s="16">
        <f t="shared" si="0"/>
        <v>15.449999999999932</v>
      </c>
      <c r="L11" s="16">
        <f t="shared" si="1"/>
        <v>238.70249999999788</v>
      </c>
      <c r="M11" s="16">
        <f t="shared" si="2"/>
        <v>716.10749999999371</v>
      </c>
    </row>
    <row r="12" spans="1:13">
      <c r="D12" s="70" t="s">
        <v>23</v>
      </c>
      <c r="E12" s="71">
        <f>_xlfn.NORM.S.INV(($A$5 + 1)/2)</f>
        <v>1.9599639845400536</v>
      </c>
      <c r="F12" s="71"/>
      <c r="M12" s="60">
        <f>SUM(M2:M11)</f>
        <v>6320.1599999999789</v>
      </c>
    </row>
    <row r="13" spans="1:13" ht="45">
      <c r="D13" s="78" t="s">
        <v>27</v>
      </c>
      <c r="E13" s="79">
        <f>$A$6-($E$12*(SQRT($A$3)/(SQRT($A2))))</f>
        <v>168.34345770539014</v>
      </c>
      <c r="F13" s="80">
        <f>$A$4+($E$12*(SQRT($A$3)/(SQRT($A2))))</f>
        <v>170.83154229460982</v>
      </c>
    </row>
    <row r="16" spans="1:13">
      <c r="D16" t="s">
        <v>28</v>
      </c>
    </row>
    <row r="17" spans="4:6" ht="25" customHeight="1">
      <c r="D17" s="64" t="s">
        <v>26</v>
      </c>
      <c r="E17" s="65"/>
      <c r="F17" s="65"/>
    </row>
    <row r="18" spans="4:6">
      <c r="D18" s="70" t="s">
        <v>23</v>
      </c>
      <c r="E18" s="71">
        <f>_xlfn.T.INV.2T(1-$A$5,$A$2-1)</f>
        <v>1.9719565442517553</v>
      </c>
      <c r="F18" s="71"/>
    </row>
    <row r="19" spans="4:6" ht="45">
      <c r="D19" s="78" t="s">
        <v>24</v>
      </c>
      <c r="E19" s="79">
        <f>$A$6-($E$18*($A$7/(SQRT($A2))))</f>
        <v>164.84187512626889</v>
      </c>
      <c r="F19" s="79">
        <f>$A$6+($E$18*($A$7/(SQRT($A2))))</f>
        <v>173.50812487373102</v>
      </c>
    </row>
    <row r="22" spans="4:6">
      <c r="D22" t="s">
        <v>29</v>
      </c>
    </row>
    <row r="23" spans="4:6" ht="33" customHeight="1">
      <c r="D23" s="64" t="s">
        <v>26</v>
      </c>
      <c r="E23" s="66"/>
      <c r="F23" s="67"/>
    </row>
    <row r="24" spans="4:6">
      <c r="D24" s="72"/>
      <c r="E24" s="73">
        <f>_xlfn.CHISQ.INV((1-$A$5)/2,$A$2-1)</f>
        <v>161.82618239364686</v>
      </c>
      <c r="F24" s="74"/>
    </row>
    <row r="25" spans="4:6">
      <c r="D25" s="72"/>
      <c r="E25" s="73">
        <f>_xlfn.CHISQ.INV((1+$A$5)/2,$A$2-1)</f>
        <v>239.9596818276442</v>
      </c>
      <c r="F25" s="74"/>
    </row>
    <row r="26" spans="4:6" ht="45">
      <c r="D26" s="78" t="s">
        <v>24</v>
      </c>
      <c r="E26" s="79">
        <f>(((A2 - 1)*A7) / E25)</f>
        <v>25.771141855585213</v>
      </c>
      <c r="F26" s="79">
        <f>(((A2 - 1)*A7) / E24)</f>
        <v>38.214057259031598</v>
      </c>
    </row>
    <row r="29" spans="4:6">
      <c r="D29" t="s">
        <v>30</v>
      </c>
    </row>
    <row r="30" spans="4:6" ht="32" customHeight="1">
      <c r="D30" s="64" t="s">
        <v>26</v>
      </c>
      <c r="E30" s="68"/>
      <c r="F30" s="69"/>
    </row>
    <row r="31" spans="4:6">
      <c r="D31" s="75"/>
      <c r="E31" s="76">
        <f>_xlfn.CHISQ.INV((1-$A$5)/2,$A$2)</f>
        <v>162.7279825018463</v>
      </c>
      <c r="F31" s="77"/>
    </row>
    <row r="32" spans="4:6">
      <c r="D32" s="75"/>
      <c r="E32" s="76">
        <f>_xlfn.CHISQ.INV((1+$A$5)/2,$A$2)</f>
        <v>241.0578955063109</v>
      </c>
      <c r="F32" s="77"/>
    </row>
    <row r="33" spans="4:6" ht="45">
      <c r="D33" s="78" t="s">
        <v>24</v>
      </c>
      <c r="E33" s="79">
        <f>M12/E32</f>
        <v>26.218431828276362</v>
      </c>
      <c r="F33" s="79">
        <f>M12/E31</f>
        <v>38.838802662155977</v>
      </c>
    </row>
  </sheetData>
  <mergeCells count="12">
    <mergeCell ref="E31:F31"/>
    <mergeCell ref="E32:F32"/>
    <mergeCell ref="E17:F17"/>
    <mergeCell ref="E18:F18"/>
    <mergeCell ref="E23:F23"/>
    <mergeCell ref="E24:F24"/>
    <mergeCell ref="E25:F25"/>
    <mergeCell ref="E30:F30"/>
    <mergeCell ref="A1:B1"/>
    <mergeCell ref="E11:F11"/>
    <mergeCell ref="E12:F12"/>
    <mergeCell ref="D10:F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2B4C-23D4-944E-B9F1-E88BDBCF4E0C}">
  <dimension ref="A1:I32"/>
  <sheetViews>
    <sheetView topLeftCell="A10" zoomScale="167" zoomScaleNormal="100" workbookViewId="0">
      <selection activeCell="C11" sqref="C11"/>
    </sheetView>
  </sheetViews>
  <sheetFormatPr baseColWidth="10" defaultRowHeight="16"/>
  <cols>
    <col min="1" max="1" width="10.83203125" customWidth="1"/>
    <col min="2" max="2" width="15.33203125" customWidth="1"/>
    <col min="5" max="5" width="12.6640625" customWidth="1"/>
    <col min="6" max="6" width="27.5" customWidth="1"/>
  </cols>
  <sheetData>
    <row r="1" spans="1:8">
      <c r="A1" s="56" t="s">
        <v>16</v>
      </c>
      <c r="B1" s="57"/>
      <c r="E1" s="13" t="s">
        <v>9</v>
      </c>
      <c r="F1" s="25" t="s">
        <v>1</v>
      </c>
      <c r="G1" s="25"/>
      <c r="H1" s="25"/>
    </row>
    <row r="2" spans="1:8" ht="30" customHeight="1">
      <c r="A2" s="54">
        <v>200</v>
      </c>
      <c r="B2" s="36" t="s">
        <v>17</v>
      </c>
      <c r="E2" s="13"/>
      <c r="F2" s="12"/>
      <c r="G2" s="12"/>
      <c r="H2" s="12"/>
    </row>
    <row r="3" spans="1:8" ht="25" customHeight="1">
      <c r="A3" s="54">
        <v>0.05</v>
      </c>
      <c r="B3" s="36" t="s">
        <v>31</v>
      </c>
      <c r="E3" s="14">
        <v>1</v>
      </c>
      <c r="F3" s="16">
        <f>'1'!D2</f>
        <v>156</v>
      </c>
      <c r="G3" s="16">
        <f>F3 + '2'!$B$3</f>
        <v>159.1</v>
      </c>
      <c r="H3" s="16">
        <f>'2'!E11</f>
        <v>9</v>
      </c>
    </row>
    <row r="4" spans="1:8" ht="75">
      <c r="A4" s="55">
        <f>'4'!D21</f>
        <v>169.17499999999995</v>
      </c>
      <c r="B4" s="36" t="s">
        <v>20</v>
      </c>
      <c r="E4" s="14">
        <v>2</v>
      </c>
      <c r="F4" s="16">
        <f>G3</f>
        <v>159.1</v>
      </c>
      <c r="G4" s="16">
        <f>F4 + '2'!$B$3</f>
        <v>162.19999999999999</v>
      </c>
      <c r="H4" s="16">
        <f>'2'!E12</f>
        <v>11</v>
      </c>
    </row>
    <row r="5" spans="1:8" ht="68" customHeight="1">
      <c r="A5" s="53">
        <f>'4'!D24</f>
        <v>5.5745450723647121</v>
      </c>
      <c r="B5" s="36" t="s">
        <v>32</v>
      </c>
      <c r="E5" s="14">
        <v>3</v>
      </c>
      <c r="F5" s="16">
        <f t="shared" ref="F5:F12" si="0">G4</f>
        <v>162.19999999999999</v>
      </c>
      <c r="G5" s="16">
        <f>F5 + '2'!$B$3</f>
        <v>165.29999999999998</v>
      </c>
      <c r="H5" s="16">
        <f>'2'!E13</f>
        <v>28</v>
      </c>
    </row>
    <row r="6" spans="1:8">
      <c r="E6" s="14">
        <v>4</v>
      </c>
      <c r="F6" s="16">
        <f t="shared" si="0"/>
        <v>165.29999999999998</v>
      </c>
      <c r="G6" s="16">
        <f>F6 + '2'!$B$3</f>
        <v>168.39999999999998</v>
      </c>
      <c r="H6" s="16">
        <f>'2'!E14</f>
        <v>35</v>
      </c>
    </row>
    <row r="7" spans="1:8">
      <c r="E7" s="14">
        <v>5</v>
      </c>
      <c r="F7" s="16">
        <f t="shared" si="0"/>
        <v>168.39999999999998</v>
      </c>
      <c r="G7" s="16">
        <f>F7 + '2'!$B$3</f>
        <v>171.49999999999997</v>
      </c>
      <c r="H7" s="16">
        <f>'2'!E15</f>
        <v>54</v>
      </c>
    </row>
    <row r="8" spans="1:8">
      <c r="E8" s="14">
        <v>6</v>
      </c>
      <c r="F8" s="16">
        <f t="shared" si="0"/>
        <v>171.49999999999997</v>
      </c>
      <c r="G8" s="16">
        <f>F8 + '2'!$B$3</f>
        <v>174.59999999999997</v>
      </c>
      <c r="H8" s="16">
        <f>'2'!E16</f>
        <v>37</v>
      </c>
    </row>
    <row r="9" spans="1:8">
      <c r="E9" s="14">
        <v>7</v>
      </c>
      <c r="F9" s="16">
        <f t="shared" si="0"/>
        <v>174.59999999999997</v>
      </c>
      <c r="G9" s="16">
        <f>F9 + '2'!$B$3</f>
        <v>177.69999999999996</v>
      </c>
      <c r="H9" s="16">
        <f>'2'!E17</f>
        <v>12</v>
      </c>
    </row>
    <row r="10" spans="1:8">
      <c r="E10" s="14">
        <v>8</v>
      </c>
      <c r="F10" s="16">
        <f t="shared" si="0"/>
        <v>177.69999999999996</v>
      </c>
      <c r="G10" s="16">
        <f>F10 + '2'!$B$3</f>
        <v>180.79999999999995</v>
      </c>
      <c r="H10" s="16">
        <f>'2'!E18</f>
        <v>10</v>
      </c>
    </row>
    <row r="11" spans="1:8">
      <c r="E11" s="14">
        <v>9</v>
      </c>
      <c r="F11" s="16">
        <f t="shared" si="0"/>
        <v>180.79999999999995</v>
      </c>
      <c r="G11" s="16">
        <f>F11 + '2'!$B$3</f>
        <v>183.89999999999995</v>
      </c>
      <c r="H11" s="16">
        <f>'2'!E19</f>
        <v>1</v>
      </c>
    </row>
    <row r="12" spans="1:8">
      <c r="E12" s="17">
        <v>10</v>
      </c>
      <c r="F12" s="16">
        <f t="shared" si="0"/>
        <v>183.89999999999995</v>
      </c>
      <c r="G12" s="16">
        <f>F12 + '2'!$B$3</f>
        <v>186.99999999999994</v>
      </c>
      <c r="H12" s="16">
        <f>'2'!E20</f>
        <v>3</v>
      </c>
    </row>
    <row r="16" spans="1:8" ht="33" customHeight="1">
      <c r="A16" s="83" t="s">
        <v>33</v>
      </c>
      <c r="B16" s="84"/>
      <c r="C16" s="84"/>
      <c r="D16" s="84"/>
      <c r="E16" s="84"/>
      <c r="F16" s="84"/>
      <c r="G16" s="84"/>
      <c r="H16" s="84"/>
    </row>
    <row r="18" spans="1:9">
      <c r="A18" s="13" t="s">
        <v>9</v>
      </c>
      <c r="B18" s="25" t="s">
        <v>1</v>
      </c>
      <c r="C18" s="25"/>
      <c r="D18" s="25"/>
      <c r="E18" s="25"/>
      <c r="F18" s="25"/>
      <c r="G18" s="25"/>
      <c r="H18" s="25"/>
      <c r="I18" s="25"/>
    </row>
    <row r="19" spans="1:9" ht="30" customHeight="1">
      <c r="A19" s="13"/>
      <c r="B19" s="12"/>
      <c r="C19" s="12"/>
      <c r="D19" s="12"/>
      <c r="E19" s="12"/>
      <c r="F19" s="12"/>
      <c r="G19" s="12"/>
      <c r="H19" s="12"/>
      <c r="I19" s="12"/>
    </row>
    <row r="20" spans="1:9">
      <c r="A20" s="14">
        <v>1</v>
      </c>
      <c r="B20" s="16"/>
      <c r="C20" s="16">
        <f>G4</f>
        <v>162.19999999999999</v>
      </c>
      <c r="D20" s="16">
        <f>H3+H4</f>
        <v>20</v>
      </c>
      <c r="E20" s="16">
        <v>0</v>
      </c>
      <c r="F20" s="16">
        <f>E21-E20</f>
        <v>0.10542653213229809</v>
      </c>
      <c r="G20" s="16">
        <f>$A$2*F20</f>
        <v>21.085306426459617</v>
      </c>
      <c r="H20" s="16">
        <f>D20-G20</f>
        <v>-1.0853064264596171</v>
      </c>
      <c r="I20" s="16">
        <f>H20*H20/G20</f>
        <v>5.5863074289327311E-2</v>
      </c>
    </row>
    <row r="21" spans="1:9">
      <c r="A21" s="14">
        <v>2</v>
      </c>
      <c r="B21" s="16">
        <f>F5</f>
        <v>162.19999999999999</v>
      </c>
      <c r="C21" s="16">
        <f t="shared" ref="C21:C29" si="1">G5</f>
        <v>165.29999999999998</v>
      </c>
      <c r="D21" s="16">
        <f>H5</f>
        <v>28</v>
      </c>
      <c r="E21" s="16">
        <f>_xlfn.NORM.S.DIST((B21-$A$4)/$A$5,1)</f>
        <v>0.10542653213229809</v>
      </c>
      <c r="F21" s="16">
        <f t="shared" ref="F21:F25" si="2">E22-E21</f>
        <v>0.13806226943570088</v>
      </c>
      <c r="G21" s="16">
        <f t="shared" ref="G21:G26" si="3">$A$2*F21</f>
        <v>27.612453887140177</v>
      </c>
      <c r="H21" s="16">
        <f t="shared" ref="H21:H26" si="4">D21-G21</f>
        <v>0.38754611285982321</v>
      </c>
      <c r="I21" s="16">
        <f t="shared" ref="I21:I25" si="5">H21*H21/G21</f>
        <v>5.4392843970563253E-3</v>
      </c>
    </row>
    <row r="22" spans="1:9">
      <c r="A22" s="14">
        <v>3</v>
      </c>
      <c r="B22" s="16">
        <f t="shared" ref="B22:B29" si="6">F6</f>
        <v>165.29999999999998</v>
      </c>
      <c r="C22" s="16">
        <f t="shared" si="1"/>
        <v>168.39999999999998</v>
      </c>
      <c r="D22" s="16">
        <f t="shared" ref="D22:D25" si="7">H6</f>
        <v>35</v>
      </c>
      <c r="E22" s="16">
        <f t="shared" ref="E22:E25" si="8">_xlfn.NORM.S.DIST((B22-$A$4)/$A$5,1)</f>
        <v>0.24348880156799896</v>
      </c>
      <c r="F22" s="16">
        <f t="shared" si="2"/>
        <v>0.20122647529932775</v>
      </c>
      <c r="G22" s="16">
        <f t="shared" si="3"/>
        <v>40.245295059865548</v>
      </c>
      <c r="H22" s="16">
        <f t="shared" si="4"/>
        <v>-5.2452950598655477</v>
      </c>
      <c r="I22" s="16">
        <f t="shared" si="5"/>
        <v>0.68363569515700395</v>
      </c>
    </row>
    <row r="23" spans="1:9">
      <c r="A23" s="14">
        <v>4</v>
      </c>
      <c r="B23" s="16">
        <f t="shared" si="6"/>
        <v>168.39999999999998</v>
      </c>
      <c r="C23" s="16">
        <f t="shared" si="1"/>
        <v>171.49999999999997</v>
      </c>
      <c r="D23" s="16">
        <f t="shared" si="7"/>
        <v>54</v>
      </c>
      <c r="E23" s="16">
        <f t="shared" si="8"/>
        <v>0.4447152768673267</v>
      </c>
      <c r="F23" s="16">
        <f t="shared" si="2"/>
        <v>0.21697272582499849</v>
      </c>
      <c r="G23" s="16">
        <f t="shared" si="3"/>
        <v>43.394545164999698</v>
      </c>
      <c r="H23" s="16">
        <f t="shared" si="4"/>
        <v>10.605454835000302</v>
      </c>
      <c r="I23" s="16">
        <f t="shared" si="5"/>
        <v>2.5919311247430623</v>
      </c>
    </row>
    <row r="24" spans="1:9">
      <c r="A24" s="14">
        <v>5</v>
      </c>
      <c r="B24" s="16">
        <f t="shared" si="6"/>
        <v>171.49999999999997</v>
      </c>
      <c r="C24" s="16">
        <f t="shared" si="1"/>
        <v>174.59999999999997</v>
      </c>
      <c r="D24" s="16">
        <f t="shared" si="7"/>
        <v>37</v>
      </c>
      <c r="E24" s="16">
        <f t="shared" si="8"/>
        <v>0.66168800269232519</v>
      </c>
      <c r="F24" s="16">
        <f t="shared" si="2"/>
        <v>0.17307847832217538</v>
      </c>
      <c r="G24" s="16">
        <f t="shared" si="3"/>
        <v>34.615695664435073</v>
      </c>
      <c r="H24" s="16">
        <f t="shared" si="4"/>
        <v>2.3843043355649272</v>
      </c>
      <c r="I24" s="16">
        <f t="shared" si="5"/>
        <v>0.16422917568097606</v>
      </c>
    </row>
    <row r="25" spans="1:9">
      <c r="A25" s="14">
        <v>6</v>
      </c>
      <c r="B25" s="16">
        <f t="shared" si="6"/>
        <v>174.59999999999997</v>
      </c>
      <c r="C25" s="16">
        <f t="shared" si="1"/>
        <v>177.69999999999996</v>
      </c>
      <c r="D25" s="16">
        <f t="shared" si="7"/>
        <v>12</v>
      </c>
      <c r="E25" s="16">
        <f t="shared" si="8"/>
        <v>0.83476648101450057</v>
      </c>
      <c r="F25" s="16">
        <f t="shared" si="2"/>
        <v>0.10213510077428112</v>
      </c>
      <c r="G25" s="16">
        <f t="shared" si="3"/>
        <v>20.427020154856223</v>
      </c>
      <c r="H25" s="16">
        <f t="shared" si="4"/>
        <v>-8.4270201548562227</v>
      </c>
      <c r="I25" s="16">
        <f t="shared" si="5"/>
        <v>3.4765065169561846</v>
      </c>
    </row>
    <row r="26" spans="1:9" ht="17" thickBot="1">
      <c r="A26" s="90">
        <v>7</v>
      </c>
      <c r="B26" s="43">
        <f t="shared" si="6"/>
        <v>177.69999999999996</v>
      </c>
      <c r="C26" s="43"/>
      <c r="D26" s="43">
        <f>H10+H11+H12</f>
        <v>14</v>
      </c>
      <c r="E26" s="43">
        <f>_xlfn.NORM.S.DIST((B26-$A$4)/$A$5,1)</f>
        <v>0.93690158178878169</v>
      </c>
      <c r="F26" s="43">
        <f>1-E26</f>
        <v>6.309841821121831E-2</v>
      </c>
      <c r="G26" s="43">
        <f t="shared" si="3"/>
        <v>12.619683642243661</v>
      </c>
      <c r="H26" s="43">
        <f t="shared" si="4"/>
        <v>1.3803163577563389</v>
      </c>
      <c r="I26" s="43">
        <f>H26*H26/G26</f>
        <v>0.15097630824214431</v>
      </c>
    </row>
    <row r="27" spans="1:9">
      <c r="A27" s="88"/>
      <c r="B27" s="38"/>
      <c r="C27" s="38"/>
      <c r="D27" s="89">
        <f>SUM(D20:D26)</f>
        <v>200</v>
      </c>
      <c r="E27" s="11"/>
      <c r="F27" s="89">
        <f>SUM(F20:F26)</f>
        <v>1</v>
      </c>
    </row>
    <row r="28" spans="1:9" ht="17" customHeight="1">
      <c r="A28" s="86"/>
      <c r="B28" s="85">
        <f>SUM(I20:I26)</f>
        <v>7.1285811794657548</v>
      </c>
    </row>
    <row r="29" spans="1:9" ht="17" customHeight="1">
      <c r="A29" s="87"/>
      <c r="B29" s="85">
        <f>_xlfn.CHISQ.INV.RT(A3,A26-3)</f>
        <v>9.4877290367811575</v>
      </c>
    </row>
    <row r="31" spans="1:9" ht="25" customHeight="1">
      <c r="A31" s="92" t="s">
        <v>40</v>
      </c>
      <c r="B31" s="92"/>
      <c r="C31" s="92"/>
      <c r="D31" s="92"/>
      <c r="E31" s="92"/>
      <c r="F31" s="92"/>
      <c r="G31" s="92"/>
      <c r="H31" s="92"/>
    </row>
    <row r="32" spans="1:9">
      <c r="H32" s="93"/>
    </row>
  </sheetData>
  <mergeCells count="7">
    <mergeCell ref="A31:H31"/>
    <mergeCell ref="A1:B1"/>
    <mergeCell ref="E1:E2"/>
    <mergeCell ref="F1:H1"/>
    <mergeCell ref="A16:H16"/>
    <mergeCell ref="A18:A19"/>
    <mergeCell ref="B18:I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88CB-78AD-7A44-AD6D-8158AB605898}">
  <dimension ref="A1:J101"/>
  <sheetViews>
    <sheetView topLeftCell="A8" zoomScale="189" zoomScaleNormal="159" workbookViewId="0">
      <selection activeCell="G16" sqref="G16"/>
    </sheetView>
  </sheetViews>
  <sheetFormatPr baseColWidth="10" defaultRowHeight="16"/>
  <sheetData>
    <row r="1" spans="1:9">
      <c r="A1" s="96" t="s">
        <v>34</v>
      </c>
      <c r="B1" s="97" t="s">
        <v>35</v>
      </c>
      <c r="D1" s="98" t="s">
        <v>16</v>
      </c>
      <c r="E1" s="99"/>
    </row>
    <row r="2" spans="1:9">
      <c r="A2" s="50">
        <f>'1'!B2</f>
        <v>178</v>
      </c>
      <c r="B2" s="50">
        <f>'1'!B102</f>
        <v>168</v>
      </c>
      <c r="D2" s="46"/>
      <c r="E2" s="34">
        <f>AVERAGE(A2:A102)</f>
        <v>169.78</v>
      </c>
    </row>
    <row r="3" spans="1:9">
      <c r="A3" s="50">
        <f>'1'!B3</f>
        <v>163</v>
      </c>
      <c r="B3" s="50">
        <f>'1'!B103</f>
        <v>157</v>
      </c>
      <c r="D3" s="46"/>
      <c r="E3" s="34">
        <f>AVERAGE(B2:B102)</f>
        <v>168.79</v>
      </c>
    </row>
    <row r="4" spans="1:9">
      <c r="A4" s="50">
        <f>'1'!B4</f>
        <v>170</v>
      </c>
      <c r="B4" s="50">
        <f>'1'!B104</f>
        <v>164</v>
      </c>
      <c r="D4" s="46"/>
      <c r="E4" s="34">
        <f>_xlfn.VAR.S(A2:A102)</f>
        <v>36.233939393939387</v>
      </c>
    </row>
    <row r="5" spans="1:9">
      <c r="A5" s="50">
        <f>'1'!B5</f>
        <v>164</v>
      </c>
      <c r="B5" s="50">
        <f>'1'!B105</f>
        <v>170</v>
      </c>
      <c r="D5" s="46"/>
      <c r="E5" s="34">
        <f>_xlfn.VAR.S(B2:B102)</f>
        <v>25.238282828282824</v>
      </c>
    </row>
    <row r="6" spans="1:9">
      <c r="A6" s="50">
        <f>'1'!B6</f>
        <v>164</v>
      </c>
      <c r="B6" s="50">
        <f>'1'!B106</f>
        <v>171</v>
      </c>
      <c r="D6" s="105" t="s">
        <v>42</v>
      </c>
      <c r="E6" s="34">
        <v>0.05</v>
      </c>
    </row>
    <row r="7" spans="1:9">
      <c r="A7" s="50">
        <f>'1'!B7</f>
        <v>168</v>
      </c>
      <c r="B7" s="50">
        <f>'1'!B107</f>
        <v>160</v>
      </c>
      <c r="D7" s="105" t="s">
        <v>41</v>
      </c>
      <c r="E7" s="34">
        <v>200</v>
      </c>
    </row>
    <row r="8" spans="1:9">
      <c r="A8" s="50">
        <f>'1'!B8</f>
        <v>167</v>
      </c>
      <c r="B8" s="50">
        <f>'1'!B108</f>
        <v>162</v>
      </c>
    </row>
    <row r="9" spans="1:9">
      <c r="A9" s="50">
        <f>'1'!B9</f>
        <v>166</v>
      </c>
      <c r="B9" s="50">
        <f>'1'!B109</f>
        <v>163</v>
      </c>
    </row>
    <row r="10" spans="1:9">
      <c r="A10" s="50">
        <f>'1'!B10</f>
        <v>162</v>
      </c>
      <c r="B10" s="50">
        <f>'1'!B110</f>
        <v>171</v>
      </c>
      <c r="D10" s="100" t="s">
        <v>37</v>
      </c>
      <c r="E10" s="100"/>
    </row>
    <row r="11" spans="1:9">
      <c r="A11" s="50">
        <f>'1'!B11</f>
        <v>171</v>
      </c>
      <c r="B11" s="50">
        <f>'1'!B111</f>
        <v>161</v>
      </c>
      <c r="D11" s="105" t="s">
        <v>43</v>
      </c>
      <c r="E11" s="101">
        <f>E5/E4</f>
        <v>0.6965370934109435</v>
      </c>
    </row>
    <row r="12" spans="1:9">
      <c r="A12" s="50">
        <f>'1'!B12</f>
        <v>168</v>
      </c>
      <c r="B12" s="50">
        <f>'1'!B112</f>
        <v>173</v>
      </c>
      <c r="D12" s="46"/>
      <c r="E12" s="34">
        <f>_xlfn.F.INV.RT(0.05, 99,99)</f>
        <v>1.3940612573481483</v>
      </c>
      <c r="F12" s="103" t="s">
        <v>44</v>
      </c>
      <c r="G12" s="104"/>
      <c r="H12" s="104"/>
      <c r="I12" s="104"/>
    </row>
    <row r="13" spans="1:9">
      <c r="A13" s="50">
        <f>'1'!B13</f>
        <v>173</v>
      </c>
      <c r="B13" s="50">
        <f>'1'!B113</f>
        <v>175</v>
      </c>
    </row>
    <row r="14" spans="1:9">
      <c r="A14" s="50">
        <f>'1'!B14</f>
        <v>167</v>
      </c>
      <c r="B14" s="50">
        <f>'1'!B114</f>
        <v>164</v>
      </c>
      <c r="H14" s="47"/>
      <c r="I14" s="47"/>
    </row>
    <row r="15" spans="1:9">
      <c r="A15" s="50">
        <f>'1'!B15</f>
        <v>170</v>
      </c>
      <c r="B15" s="50">
        <f>'1'!B115</f>
        <v>174</v>
      </c>
      <c r="D15" s="100" t="s">
        <v>39</v>
      </c>
      <c r="E15" s="100"/>
      <c r="I15" s="94"/>
    </row>
    <row r="16" spans="1:9">
      <c r="A16" s="50">
        <f>'1'!B16</f>
        <v>171</v>
      </c>
      <c r="B16" s="50">
        <f>'1'!B116</f>
        <v>167</v>
      </c>
      <c r="D16" s="105" t="s">
        <v>38</v>
      </c>
      <c r="E16" s="34">
        <f>SQRT((E7/2)*(E7/2)/((E7/2)+(E7/2)))*(E2 - E3)/SQRT((((E7/2)-1)*E4+((E7/2)-1)*E5)/((E7/2)+(E7/2)-2))</f>
        <v>1.262687083756977</v>
      </c>
    </row>
    <row r="17" spans="1:10">
      <c r="A17" s="50">
        <f>'1'!B17</f>
        <v>173</v>
      </c>
      <c r="B17" s="50">
        <f>'1'!B117</f>
        <v>176</v>
      </c>
      <c r="D17" s="46"/>
      <c r="E17" s="34">
        <f>_xlfn.T.INV.2T(0.05, 198)</f>
        <v>1.9720174778363073</v>
      </c>
    </row>
    <row r="18" spans="1:10">
      <c r="A18" s="50">
        <f>'1'!B18</f>
        <v>187</v>
      </c>
      <c r="B18" s="50">
        <f>'1'!B118</f>
        <v>163</v>
      </c>
    </row>
    <row r="19" spans="1:10">
      <c r="A19" s="50">
        <f>'1'!B19</f>
        <v>166</v>
      </c>
      <c r="B19" s="50">
        <f>'1'!B119</f>
        <v>156</v>
      </c>
      <c r="H19" s="47"/>
      <c r="I19" s="47"/>
    </row>
    <row r="20" spans="1:10">
      <c r="A20" s="50">
        <f>'1'!B20</f>
        <v>170</v>
      </c>
      <c r="B20" s="50">
        <f>'1'!B120</f>
        <v>179</v>
      </c>
      <c r="D20" s="91" t="s">
        <v>45</v>
      </c>
      <c r="E20" s="102"/>
      <c r="F20" s="102"/>
      <c r="G20" s="102"/>
      <c r="H20" s="102"/>
      <c r="I20" s="102"/>
      <c r="J20" s="102"/>
    </row>
    <row r="21" spans="1:10">
      <c r="A21" s="50">
        <f>'1'!B21</f>
        <v>178</v>
      </c>
      <c r="B21" s="50">
        <f>'1'!B121</f>
        <v>179</v>
      </c>
      <c r="D21" s="102"/>
      <c r="E21" s="102"/>
      <c r="F21" s="102"/>
      <c r="G21" s="102"/>
      <c r="H21" s="102"/>
      <c r="I21" s="102"/>
      <c r="J21" s="102"/>
    </row>
    <row r="22" spans="1:10">
      <c r="A22" s="50">
        <f>'1'!B22</f>
        <v>173</v>
      </c>
      <c r="B22" s="50">
        <f>'1'!B122</f>
        <v>176</v>
      </c>
    </row>
    <row r="23" spans="1:10">
      <c r="A23" s="50">
        <f>'1'!B23</f>
        <v>179</v>
      </c>
      <c r="B23" s="50">
        <f>'1'!B123</f>
        <v>163</v>
      </c>
    </row>
    <row r="24" spans="1:10">
      <c r="A24" s="50">
        <f>'1'!B24</f>
        <v>171</v>
      </c>
      <c r="B24" s="50">
        <f>'1'!B124</f>
        <v>175</v>
      </c>
    </row>
    <row r="25" spans="1:10">
      <c r="A25" s="50">
        <f>'1'!B25</f>
        <v>174</v>
      </c>
      <c r="B25" s="50">
        <f>'1'!B125</f>
        <v>156</v>
      </c>
    </row>
    <row r="26" spans="1:10">
      <c r="A26" s="50">
        <f>'1'!B26</f>
        <v>164</v>
      </c>
      <c r="B26" s="50">
        <f>'1'!B126</f>
        <v>177</v>
      </c>
    </row>
    <row r="27" spans="1:10">
      <c r="A27" s="50">
        <f>'1'!B27</f>
        <v>173</v>
      </c>
      <c r="B27" s="50">
        <f>'1'!B127</f>
        <v>166</v>
      </c>
    </row>
    <row r="28" spans="1:10">
      <c r="A28" s="50">
        <f>'1'!B28</f>
        <v>168</v>
      </c>
      <c r="B28" s="50">
        <f>'1'!B128</f>
        <v>173</v>
      </c>
    </row>
    <row r="29" spans="1:10">
      <c r="A29" s="50">
        <f>'1'!B29</f>
        <v>166</v>
      </c>
      <c r="B29" s="50">
        <f>'1'!B129</f>
        <v>169</v>
      </c>
    </row>
    <row r="30" spans="1:10">
      <c r="A30" s="50">
        <f>'1'!B30</f>
        <v>177</v>
      </c>
      <c r="B30" s="50">
        <f>'1'!B130</f>
        <v>172</v>
      </c>
    </row>
    <row r="31" spans="1:10">
      <c r="A31" s="50">
        <f>'1'!B31</f>
        <v>170</v>
      </c>
      <c r="B31" s="50">
        <f>'1'!B131</f>
        <v>165</v>
      </c>
    </row>
    <row r="32" spans="1:10">
      <c r="A32" s="50">
        <f>'1'!B32</f>
        <v>167</v>
      </c>
      <c r="B32" s="50">
        <f>'1'!B132</f>
        <v>164</v>
      </c>
    </row>
    <row r="33" spans="1:2">
      <c r="A33" s="50">
        <f>'1'!B33</f>
        <v>174</v>
      </c>
      <c r="B33" s="50">
        <f>'1'!B133</f>
        <v>166</v>
      </c>
    </row>
    <row r="34" spans="1:2">
      <c r="A34" s="50">
        <f>'1'!B34</f>
        <v>164</v>
      </c>
      <c r="B34" s="50">
        <f>'1'!B134</f>
        <v>168</v>
      </c>
    </row>
    <row r="35" spans="1:2">
      <c r="A35" s="50">
        <f>'1'!B35</f>
        <v>164</v>
      </c>
      <c r="B35" s="50">
        <f>'1'!B135</f>
        <v>167</v>
      </c>
    </row>
    <row r="36" spans="1:2">
      <c r="A36" s="50">
        <f>'1'!B36</f>
        <v>178</v>
      </c>
      <c r="B36" s="50">
        <f>'1'!B136</f>
        <v>166</v>
      </c>
    </row>
    <row r="37" spans="1:2">
      <c r="A37" s="50">
        <f>'1'!B37</f>
        <v>173</v>
      </c>
      <c r="B37" s="50">
        <f>'1'!B137</f>
        <v>169</v>
      </c>
    </row>
    <row r="38" spans="1:2">
      <c r="A38" s="50">
        <f>'1'!B38</f>
        <v>179</v>
      </c>
      <c r="B38" s="50">
        <f>'1'!B138</f>
        <v>169</v>
      </c>
    </row>
    <row r="39" spans="1:2">
      <c r="A39" s="50">
        <f>'1'!B39</f>
        <v>165</v>
      </c>
      <c r="B39" s="50">
        <f>'1'!B139</f>
        <v>169</v>
      </c>
    </row>
    <row r="40" spans="1:2">
      <c r="A40" s="50">
        <f>'1'!B40</f>
        <v>171</v>
      </c>
      <c r="B40" s="50">
        <f>'1'!B140</f>
        <v>164</v>
      </c>
    </row>
    <row r="41" spans="1:2">
      <c r="A41" s="50">
        <f>'1'!B41</f>
        <v>171</v>
      </c>
      <c r="B41" s="50">
        <f>'1'!B141</f>
        <v>179</v>
      </c>
    </row>
    <row r="42" spans="1:2">
      <c r="A42" s="50">
        <f>'1'!B42</f>
        <v>170</v>
      </c>
      <c r="B42" s="50">
        <f>'1'!B142</f>
        <v>156</v>
      </c>
    </row>
    <row r="43" spans="1:2">
      <c r="A43" s="50">
        <f>'1'!B43</f>
        <v>170</v>
      </c>
      <c r="B43" s="50">
        <f>'1'!B143</f>
        <v>168</v>
      </c>
    </row>
    <row r="44" spans="1:2">
      <c r="A44" s="50">
        <f>'1'!B44</f>
        <v>165</v>
      </c>
      <c r="B44" s="50">
        <f>'1'!B144</f>
        <v>171</v>
      </c>
    </row>
    <row r="45" spans="1:2">
      <c r="A45" s="50">
        <f>'1'!B45</f>
        <v>156</v>
      </c>
      <c r="B45" s="50">
        <f>'1'!B145</f>
        <v>166</v>
      </c>
    </row>
    <row r="46" spans="1:2">
      <c r="A46" s="50">
        <f>'1'!B46</f>
        <v>164</v>
      </c>
      <c r="B46" s="50">
        <f>'1'!B146</f>
        <v>171</v>
      </c>
    </row>
    <row r="47" spans="1:2">
      <c r="A47" s="50">
        <f>'1'!B47</f>
        <v>158</v>
      </c>
      <c r="B47" s="50">
        <f>'1'!B147</f>
        <v>172</v>
      </c>
    </row>
    <row r="48" spans="1:2">
      <c r="A48" s="50">
        <f>'1'!B48</f>
        <v>165</v>
      </c>
      <c r="B48" s="50">
        <f>'1'!B148</f>
        <v>171</v>
      </c>
    </row>
    <row r="49" spans="1:2">
      <c r="A49" s="50">
        <f>'1'!B49</f>
        <v>172</v>
      </c>
      <c r="B49" s="50">
        <f>'1'!B149</f>
        <v>169</v>
      </c>
    </row>
    <row r="50" spans="1:2">
      <c r="A50" s="50">
        <f>'1'!B50</f>
        <v>178</v>
      </c>
      <c r="B50" s="50">
        <f>'1'!B150</f>
        <v>174</v>
      </c>
    </row>
    <row r="51" spans="1:2">
      <c r="A51" s="50">
        <f>'1'!B51</f>
        <v>159</v>
      </c>
      <c r="B51" s="50">
        <f>'1'!B151</f>
        <v>165</v>
      </c>
    </row>
    <row r="52" spans="1:2">
      <c r="A52" s="50">
        <f>'1'!B52</f>
        <v>182</v>
      </c>
      <c r="B52" s="50">
        <f>'1'!B152</f>
        <v>165</v>
      </c>
    </row>
    <row r="53" spans="1:2">
      <c r="A53" s="50">
        <f>'1'!B53</f>
        <v>170</v>
      </c>
      <c r="B53" s="50">
        <f>'1'!B153</f>
        <v>163</v>
      </c>
    </row>
    <row r="54" spans="1:2">
      <c r="A54" s="50">
        <f>'1'!B54</f>
        <v>168</v>
      </c>
      <c r="B54" s="50">
        <f>'1'!B154</f>
        <v>171</v>
      </c>
    </row>
    <row r="55" spans="1:2">
      <c r="A55" s="50">
        <f>'1'!B55</f>
        <v>171</v>
      </c>
      <c r="B55" s="50">
        <f>'1'!B155</f>
        <v>172</v>
      </c>
    </row>
    <row r="56" spans="1:2">
      <c r="A56" s="50">
        <f>'1'!B56</f>
        <v>172</v>
      </c>
      <c r="B56" s="50">
        <f>'1'!B156</f>
        <v>175</v>
      </c>
    </row>
    <row r="57" spans="1:2">
      <c r="A57" s="50">
        <f>'1'!B57</f>
        <v>169</v>
      </c>
      <c r="B57" s="50">
        <f>'1'!B157</f>
        <v>172</v>
      </c>
    </row>
    <row r="58" spans="1:2">
      <c r="A58" s="50">
        <f>'1'!B58</f>
        <v>167</v>
      </c>
      <c r="B58" s="50">
        <f>'1'!B158</f>
        <v>162</v>
      </c>
    </row>
    <row r="59" spans="1:2">
      <c r="A59" s="50">
        <f>'1'!B59</f>
        <v>170</v>
      </c>
      <c r="B59" s="50">
        <f>'1'!B159</f>
        <v>163</v>
      </c>
    </row>
    <row r="60" spans="1:2">
      <c r="A60" s="50">
        <f>'1'!B60</f>
        <v>170</v>
      </c>
      <c r="B60" s="50">
        <f>'1'!B160</f>
        <v>173</v>
      </c>
    </row>
    <row r="61" spans="1:2">
      <c r="A61" s="50">
        <f>'1'!B61</f>
        <v>168</v>
      </c>
      <c r="B61" s="50">
        <f>'1'!B161</f>
        <v>174</v>
      </c>
    </row>
    <row r="62" spans="1:2">
      <c r="A62" s="50">
        <f>'1'!B62</f>
        <v>174</v>
      </c>
      <c r="B62" s="50">
        <f>'1'!B162</f>
        <v>164</v>
      </c>
    </row>
    <row r="63" spans="1:2">
      <c r="A63" s="50">
        <f>'1'!B63</f>
        <v>167</v>
      </c>
      <c r="B63" s="50">
        <f>'1'!B163</f>
        <v>176</v>
      </c>
    </row>
    <row r="64" spans="1:2">
      <c r="A64" s="50">
        <f>'1'!B64</f>
        <v>165</v>
      </c>
      <c r="B64" s="50">
        <f>'1'!B164</f>
        <v>171</v>
      </c>
    </row>
    <row r="65" spans="1:2">
      <c r="A65" s="50">
        <f>'1'!B65</f>
        <v>171</v>
      </c>
      <c r="B65" s="50">
        <f>'1'!B165</f>
        <v>173</v>
      </c>
    </row>
    <row r="66" spans="1:2">
      <c r="A66" s="50">
        <f>'1'!B66</f>
        <v>170</v>
      </c>
      <c r="B66" s="50">
        <f>'1'!B166</f>
        <v>169</v>
      </c>
    </row>
    <row r="67" spans="1:2">
      <c r="A67" s="50">
        <f>'1'!B67</f>
        <v>169</v>
      </c>
      <c r="B67" s="50">
        <f>'1'!B167</f>
        <v>166</v>
      </c>
    </row>
    <row r="68" spans="1:2">
      <c r="A68" s="50">
        <f>'1'!B68</f>
        <v>171</v>
      </c>
      <c r="B68" s="50">
        <f>'1'!B168</f>
        <v>173</v>
      </c>
    </row>
    <row r="69" spans="1:2">
      <c r="A69" s="50">
        <f>'1'!B69</f>
        <v>161</v>
      </c>
      <c r="B69" s="50">
        <f>'1'!B169</f>
        <v>172</v>
      </c>
    </row>
    <row r="70" spans="1:2">
      <c r="A70" s="50">
        <f>'1'!B70</f>
        <v>167</v>
      </c>
      <c r="B70" s="50">
        <f>'1'!B170</f>
        <v>173</v>
      </c>
    </row>
    <row r="71" spans="1:2">
      <c r="A71" s="50">
        <f>'1'!B71</f>
        <v>174</v>
      </c>
      <c r="B71" s="50">
        <f>'1'!B171</f>
        <v>161</v>
      </c>
    </row>
    <row r="72" spans="1:2">
      <c r="A72" s="50">
        <f>'1'!B72</f>
        <v>171</v>
      </c>
      <c r="B72" s="50">
        <f>'1'!B172</f>
        <v>169</v>
      </c>
    </row>
    <row r="73" spans="1:2">
      <c r="A73" s="50">
        <f>'1'!B73</f>
        <v>172</v>
      </c>
      <c r="B73" s="50">
        <f>'1'!B173</f>
        <v>172</v>
      </c>
    </row>
    <row r="74" spans="1:2">
      <c r="A74" s="50">
        <f>'1'!B74</f>
        <v>171</v>
      </c>
      <c r="B74" s="50">
        <f>'1'!B174</f>
        <v>168</v>
      </c>
    </row>
    <row r="75" spans="1:2">
      <c r="A75" s="50">
        <f>'1'!B75</f>
        <v>173</v>
      </c>
      <c r="B75" s="50">
        <f>'1'!B175</f>
        <v>171</v>
      </c>
    </row>
    <row r="76" spans="1:2">
      <c r="A76" s="50">
        <f>'1'!B76</f>
        <v>180</v>
      </c>
      <c r="B76" s="50">
        <f>'1'!B176</f>
        <v>173</v>
      </c>
    </row>
    <row r="77" spans="1:2">
      <c r="A77" s="50">
        <f>'1'!B77</f>
        <v>172</v>
      </c>
      <c r="B77" s="50">
        <f>'1'!B177</f>
        <v>170</v>
      </c>
    </row>
    <row r="78" spans="1:2">
      <c r="A78" s="50">
        <f>'1'!B78</f>
        <v>173</v>
      </c>
      <c r="B78" s="50">
        <f>'1'!B178</f>
        <v>163</v>
      </c>
    </row>
    <row r="79" spans="1:2">
      <c r="A79" s="50">
        <f>'1'!B79</f>
        <v>171</v>
      </c>
      <c r="B79" s="50">
        <f>'1'!B179</f>
        <v>167</v>
      </c>
    </row>
    <row r="80" spans="1:2">
      <c r="A80" s="50">
        <f>'1'!B80</f>
        <v>169</v>
      </c>
      <c r="B80" s="50">
        <f>'1'!B180</f>
        <v>171</v>
      </c>
    </row>
    <row r="81" spans="1:2">
      <c r="A81" s="50">
        <f>'1'!B81</f>
        <v>161</v>
      </c>
      <c r="B81" s="50">
        <f>'1'!B181</f>
        <v>169</v>
      </c>
    </row>
    <row r="82" spans="1:2">
      <c r="A82" s="50">
        <f>'1'!B82</f>
        <v>176</v>
      </c>
      <c r="B82" s="50">
        <f>'1'!B182</f>
        <v>170</v>
      </c>
    </row>
    <row r="83" spans="1:2">
      <c r="A83" s="50">
        <f>'1'!B83</f>
        <v>175</v>
      </c>
      <c r="B83" s="50">
        <f>'1'!B183</f>
        <v>166</v>
      </c>
    </row>
    <row r="84" spans="1:2">
      <c r="A84" s="50">
        <f>'1'!B84</f>
        <v>158</v>
      </c>
      <c r="B84" s="50">
        <f>'1'!B184</f>
        <v>172</v>
      </c>
    </row>
    <row r="85" spans="1:2">
      <c r="A85" s="50">
        <f>'1'!B85</f>
        <v>174</v>
      </c>
      <c r="B85" s="50">
        <f>'1'!B185</f>
        <v>171</v>
      </c>
    </row>
    <row r="86" spans="1:2">
      <c r="A86" s="50">
        <f>'1'!B86</f>
        <v>171</v>
      </c>
      <c r="B86" s="50">
        <f>'1'!B186</f>
        <v>166</v>
      </c>
    </row>
    <row r="87" spans="1:2">
      <c r="A87" s="50">
        <f>'1'!B87</f>
        <v>176</v>
      </c>
      <c r="B87" s="50">
        <f>'1'!B187</f>
        <v>177</v>
      </c>
    </row>
    <row r="88" spans="1:2">
      <c r="A88" s="50">
        <f>'1'!B88</f>
        <v>167</v>
      </c>
      <c r="B88" s="50">
        <f>'1'!B188</f>
        <v>171</v>
      </c>
    </row>
    <row r="89" spans="1:2">
      <c r="A89" s="50">
        <f>'1'!B89</f>
        <v>161</v>
      </c>
      <c r="B89" s="50">
        <f>'1'!B189</f>
        <v>164</v>
      </c>
    </row>
    <row r="90" spans="1:2">
      <c r="A90" s="50">
        <f>'1'!B90</f>
        <v>161</v>
      </c>
      <c r="B90" s="50">
        <f>'1'!B190</f>
        <v>169</v>
      </c>
    </row>
    <row r="91" spans="1:2">
      <c r="A91" s="50">
        <f>'1'!B91</f>
        <v>168</v>
      </c>
      <c r="B91" s="50">
        <f>'1'!B191</f>
        <v>167</v>
      </c>
    </row>
    <row r="92" spans="1:2">
      <c r="A92" s="50">
        <f>'1'!B92</f>
        <v>159</v>
      </c>
      <c r="B92" s="50">
        <f>'1'!B192</f>
        <v>168</v>
      </c>
    </row>
    <row r="93" spans="1:2">
      <c r="A93" s="50">
        <f>'1'!B93</f>
        <v>163</v>
      </c>
      <c r="B93" s="50">
        <f>'1'!B193</f>
        <v>169</v>
      </c>
    </row>
    <row r="94" spans="1:2">
      <c r="A94" s="50">
        <f>'1'!B94</f>
        <v>168</v>
      </c>
      <c r="B94" s="50">
        <f>'1'!B194</f>
        <v>165</v>
      </c>
    </row>
    <row r="95" spans="1:2">
      <c r="A95" s="50">
        <f>'1'!B95</f>
        <v>172</v>
      </c>
      <c r="B95" s="50">
        <f>'1'!B195</f>
        <v>174</v>
      </c>
    </row>
    <row r="96" spans="1:2">
      <c r="A96" s="50">
        <f>'1'!B96</f>
        <v>186</v>
      </c>
      <c r="B96" s="50">
        <f>'1'!B196</f>
        <v>171</v>
      </c>
    </row>
    <row r="97" spans="1:2">
      <c r="A97" s="50">
        <f>'1'!B97</f>
        <v>171</v>
      </c>
      <c r="B97" s="50">
        <f>'1'!B197</f>
        <v>168</v>
      </c>
    </row>
    <row r="98" spans="1:2">
      <c r="A98" s="50">
        <f>'1'!B98</f>
        <v>187</v>
      </c>
      <c r="B98" s="50">
        <f>'1'!B198</f>
        <v>171</v>
      </c>
    </row>
    <row r="99" spans="1:2">
      <c r="A99" s="50">
        <f>'1'!B99</f>
        <v>170</v>
      </c>
      <c r="B99" s="50">
        <f>'1'!B199</f>
        <v>171</v>
      </c>
    </row>
    <row r="100" spans="1:2">
      <c r="A100" s="50">
        <f>'1'!B100</f>
        <v>160</v>
      </c>
      <c r="B100" s="50">
        <f>'1'!B200</f>
        <v>172</v>
      </c>
    </row>
    <row r="101" spans="1:2">
      <c r="A101" s="50">
        <f>'1'!B101</f>
        <v>172</v>
      </c>
      <c r="B101" s="50">
        <f>'1'!B201</f>
        <v>167</v>
      </c>
    </row>
  </sheetData>
  <mergeCells count="7">
    <mergeCell ref="D1:E1"/>
    <mergeCell ref="D20:J21"/>
    <mergeCell ref="F12:I12"/>
    <mergeCell ref="H14:I14"/>
    <mergeCell ref="H19:I19"/>
    <mergeCell ref="D10:E10"/>
    <mergeCell ref="D15:E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4621-5A16-5249-AB8A-5DF3E8AED3DA}">
  <dimension ref="A1"/>
  <sheetViews>
    <sheetView workbookViewId="0">
      <selection activeCell="Q26" sqref="Q26"/>
    </sheetView>
  </sheetViews>
  <sheetFormatPr baseColWidth="10" defaultRowHeight="16"/>
  <sheetData>
    <row r="1" spans="1:1">
      <c r="A1" s="1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FB12-0579-F64A-8342-FA4E02562FC0}">
  <dimension ref="A1:P41"/>
  <sheetViews>
    <sheetView topLeftCell="A16" zoomScale="150" workbookViewId="0">
      <selection activeCell="A15" sqref="A15:B15"/>
    </sheetView>
  </sheetViews>
  <sheetFormatPr baseColWidth="10" defaultRowHeight="16"/>
  <cols>
    <col min="4" max="4" width="12" bestFit="1" customWidth="1"/>
  </cols>
  <sheetData>
    <row r="1" spans="1:15">
      <c r="A1" s="119" t="s">
        <v>46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1"/>
    </row>
    <row r="2" spans="1:15">
      <c r="A2" s="122"/>
      <c r="B2" s="109"/>
      <c r="C2" s="60"/>
      <c r="D2" s="110" cm="1">
        <f t="array" ref="D2:L3">TRANSPOSE('2'!H11:I19)</f>
        <v>50</v>
      </c>
      <c r="E2" s="110">
        <v>53.4</v>
      </c>
      <c r="F2" s="110">
        <v>56.8</v>
      </c>
      <c r="G2" s="110">
        <v>60.199999999999996</v>
      </c>
      <c r="H2" s="110">
        <v>63.599999999999994</v>
      </c>
      <c r="I2" s="110">
        <v>67</v>
      </c>
      <c r="J2" s="110">
        <v>70.400000000000006</v>
      </c>
      <c r="K2" s="110">
        <v>73.800000000000011</v>
      </c>
      <c r="L2" s="110">
        <v>77.200000000000017</v>
      </c>
      <c r="M2" s="110">
        <f>'2'!H20</f>
        <v>80.600000000000023</v>
      </c>
      <c r="N2" s="123"/>
    </row>
    <row r="3" spans="1:15">
      <c r="A3" s="122"/>
      <c r="B3" s="109"/>
      <c r="C3" s="111"/>
      <c r="D3" s="112">
        <v>53.4</v>
      </c>
      <c r="E3" s="110">
        <v>56.8</v>
      </c>
      <c r="F3" s="110">
        <v>60.199999999999996</v>
      </c>
      <c r="G3" s="110">
        <v>63.599999999999994</v>
      </c>
      <c r="H3" s="110">
        <v>67</v>
      </c>
      <c r="I3" s="110">
        <v>70.400000000000006</v>
      </c>
      <c r="J3" s="110">
        <v>73.800000000000011</v>
      </c>
      <c r="K3" s="110">
        <v>77.200000000000017</v>
      </c>
      <c r="L3" s="110">
        <v>80.600000000000023</v>
      </c>
      <c r="M3" s="110">
        <f>'2'!I20+0.000000001</f>
        <v>84.000000001000032</v>
      </c>
      <c r="N3" s="123"/>
    </row>
    <row r="4" spans="1:15">
      <c r="A4" s="124"/>
      <c r="B4" s="113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25"/>
      <c r="O4" s="107"/>
    </row>
    <row r="5" spans="1:15">
      <c r="A5" s="126">
        <f>'2'!C11</f>
        <v>156</v>
      </c>
      <c r="B5" s="114">
        <f>'2'!D11</f>
        <v>159.1</v>
      </c>
      <c r="C5" s="37"/>
      <c r="D5" s="117" cm="1">
        <f t="array" ref="D5:M14">COUNTIFS('1'!$B$2:$B$201,"&gt;="&amp;$A5:$A14,'1'!$B$2:$B$201,"&lt;"&amp;$B5:$B14,'1'!$C$2:$C$201,"&gt;="&amp;D$2:M$2,'1'!$C$2:$C$201,"&lt;"&amp;D$3:M$3)</f>
        <v>2</v>
      </c>
      <c r="E5" s="85">
        <v>1</v>
      </c>
      <c r="F5" s="85">
        <v>5</v>
      </c>
      <c r="G5" s="85">
        <v>1</v>
      </c>
      <c r="H5" s="85">
        <v>0</v>
      </c>
      <c r="I5" s="85">
        <v>0</v>
      </c>
      <c r="J5" s="85">
        <v>0</v>
      </c>
      <c r="K5" s="85">
        <v>0</v>
      </c>
      <c r="L5" s="85">
        <v>0</v>
      </c>
      <c r="M5" s="85">
        <v>0</v>
      </c>
      <c r="N5" s="127">
        <f t="shared" ref="N5:N15" si="0">SUM(D5:M5)</f>
        <v>9</v>
      </c>
    </row>
    <row r="6" spans="1:15">
      <c r="A6" s="126">
        <f>'2'!C12</f>
        <v>159.1</v>
      </c>
      <c r="B6" s="114">
        <f>'2'!D12</f>
        <v>162.19999999999999</v>
      </c>
      <c r="C6" s="37"/>
      <c r="D6" s="118">
        <v>2</v>
      </c>
      <c r="E6" s="115">
        <v>4</v>
      </c>
      <c r="F6" s="85">
        <v>2</v>
      </c>
      <c r="G6" s="85">
        <v>2</v>
      </c>
      <c r="H6" s="85">
        <v>1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127">
        <f t="shared" si="0"/>
        <v>11</v>
      </c>
    </row>
    <row r="7" spans="1:15">
      <c r="A7" s="126">
        <f>'2'!C13</f>
        <v>162.19999999999999</v>
      </c>
      <c r="B7" s="114">
        <f>'2'!D13</f>
        <v>165.29999999999998</v>
      </c>
      <c r="C7" s="37"/>
      <c r="D7" s="118">
        <v>0</v>
      </c>
      <c r="E7" s="85">
        <v>2</v>
      </c>
      <c r="F7" s="115">
        <v>7</v>
      </c>
      <c r="G7" s="85">
        <v>10</v>
      </c>
      <c r="H7" s="85">
        <v>6</v>
      </c>
      <c r="I7" s="85">
        <v>3</v>
      </c>
      <c r="J7" s="85">
        <v>0</v>
      </c>
      <c r="K7" s="85">
        <v>0</v>
      </c>
      <c r="L7" s="85">
        <v>0</v>
      </c>
      <c r="M7" s="85">
        <v>0</v>
      </c>
      <c r="N7" s="127">
        <f t="shared" si="0"/>
        <v>28</v>
      </c>
    </row>
    <row r="8" spans="1:15">
      <c r="A8" s="126">
        <f>'2'!C14</f>
        <v>165.29999999999998</v>
      </c>
      <c r="B8" s="114">
        <f>'2'!D14</f>
        <v>168.39999999999998</v>
      </c>
      <c r="C8" s="37"/>
      <c r="D8" s="118">
        <v>2</v>
      </c>
      <c r="E8" s="85">
        <v>2</v>
      </c>
      <c r="F8" s="85">
        <v>6</v>
      </c>
      <c r="G8" s="115">
        <v>12</v>
      </c>
      <c r="H8" s="85">
        <v>4</v>
      </c>
      <c r="I8" s="85">
        <v>6</v>
      </c>
      <c r="J8" s="85">
        <v>1</v>
      </c>
      <c r="K8" s="85">
        <v>0</v>
      </c>
      <c r="L8" s="85">
        <v>2</v>
      </c>
      <c r="M8" s="85">
        <v>0</v>
      </c>
      <c r="N8" s="127">
        <f t="shared" si="0"/>
        <v>35</v>
      </c>
    </row>
    <row r="9" spans="1:15">
      <c r="A9" s="126">
        <f>'2'!C15</f>
        <v>168.39999999999998</v>
      </c>
      <c r="B9" s="114">
        <f>'2'!D15</f>
        <v>171.49999999999997</v>
      </c>
      <c r="C9" s="37"/>
      <c r="D9" s="118">
        <v>0</v>
      </c>
      <c r="E9" s="85">
        <v>0</v>
      </c>
      <c r="F9" s="85">
        <v>5</v>
      </c>
      <c r="G9" s="85">
        <v>12</v>
      </c>
      <c r="H9" s="115">
        <v>15</v>
      </c>
      <c r="I9" s="85">
        <v>15</v>
      </c>
      <c r="J9" s="85">
        <v>3</v>
      </c>
      <c r="K9" s="85">
        <v>4</v>
      </c>
      <c r="L9" s="85">
        <v>0</v>
      </c>
      <c r="M9" s="85">
        <v>0</v>
      </c>
      <c r="N9" s="127">
        <f t="shared" si="0"/>
        <v>54</v>
      </c>
    </row>
    <row r="10" spans="1:15">
      <c r="A10" s="126">
        <f>'2'!C16</f>
        <v>171.49999999999997</v>
      </c>
      <c r="B10" s="114">
        <f>'2'!D16</f>
        <v>174.59999999999997</v>
      </c>
      <c r="C10" s="37"/>
      <c r="D10" s="118">
        <v>0</v>
      </c>
      <c r="E10" s="85">
        <v>0</v>
      </c>
      <c r="F10" s="85">
        <v>0</v>
      </c>
      <c r="G10" s="85">
        <v>2</v>
      </c>
      <c r="H10" s="85">
        <v>9</v>
      </c>
      <c r="I10" s="115">
        <v>16</v>
      </c>
      <c r="J10" s="85">
        <v>1</v>
      </c>
      <c r="K10" s="85">
        <v>8</v>
      </c>
      <c r="L10" s="85">
        <v>1</v>
      </c>
      <c r="M10" s="85">
        <v>0</v>
      </c>
      <c r="N10" s="127">
        <f t="shared" si="0"/>
        <v>37</v>
      </c>
    </row>
    <row r="11" spans="1:15">
      <c r="A11" s="126">
        <f>'2'!C17</f>
        <v>174.59999999999997</v>
      </c>
      <c r="B11" s="114">
        <f>'2'!D17</f>
        <v>177.69999999999996</v>
      </c>
      <c r="C11" s="37"/>
      <c r="D11" s="118">
        <v>0</v>
      </c>
      <c r="E11" s="85">
        <v>0</v>
      </c>
      <c r="F11" s="85">
        <v>1</v>
      </c>
      <c r="G11" s="85">
        <v>0</v>
      </c>
      <c r="H11" s="85">
        <v>0</v>
      </c>
      <c r="I11" s="85">
        <v>3</v>
      </c>
      <c r="J11" s="115">
        <v>3</v>
      </c>
      <c r="K11" s="85">
        <v>1</v>
      </c>
      <c r="L11" s="85">
        <v>2</v>
      </c>
      <c r="M11" s="85">
        <v>2</v>
      </c>
      <c r="N11" s="127">
        <f t="shared" si="0"/>
        <v>12</v>
      </c>
    </row>
    <row r="12" spans="1:15">
      <c r="A12" s="126">
        <f>'2'!C18</f>
        <v>177.69999999999996</v>
      </c>
      <c r="B12" s="114">
        <f>'2'!D18</f>
        <v>180.79999999999995</v>
      </c>
      <c r="C12" s="37"/>
      <c r="D12" s="118">
        <v>0</v>
      </c>
      <c r="E12" s="85">
        <v>0</v>
      </c>
      <c r="F12" s="85">
        <v>1</v>
      </c>
      <c r="G12" s="85">
        <v>1</v>
      </c>
      <c r="H12" s="85">
        <v>0</v>
      </c>
      <c r="I12" s="85">
        <v>2</v>
      </c>
      <c r="J12" s="85">
        <v>3</v>
      </c>
      <c r="K12" s="115">
        <v>2</v>
      </c>
      <c r="L12" s="85">
        <v>1</v>
      </c>
      <c r="M12" s="85">
        <v>0</v>
      </c>
      <c r="N12" s="127">
        <f t="shared" si="0"/>
        <v>10</v>
      </c>
    </row>
    <row r="13" spans="1:15">
      <c r="A13" s="126">
        <f>'2'!C19</f>
        <v>180.79999999999995</v>
      </c>
      <c r="B13" s="114">
        <f>'2'!D19</f>
        <v>183.89999999999995</v>
      </c>
      <c r="C13" s="37"/>
      <c r="D13" s="118">
        <v>0</v>
      </c>
      <c r="E13" s="85">
        <v>0</v>
      </c>
      <c r="F13" s="85">
        <v>0</v>
      </c>
      <c r="G13" s="85">
        <v>0</v>
      </c>
      <c r="H13" s="85">
        <v>1</v>
      </c>
      <c r="I13" s="85">
        <v>0</v>
      </c>
      <c r="J13" s="85">
        <v>0</v>
      </c>
      <c r="K13" s="85">
        <v>0</v>
      </c>
      <c r="L13" s="115">
        <v>0</v>
      </c>
      <c r="M13" s="85">
        <v>0</v>
      </c>
      <c r="N13" s="127">
        <f t="shared" si="0"/>
        <v>1</v>
      </c>
    </row>
    <row r="14" spans="1:15">
      <c r="A14" s="126">
        <f>'2'!C20</f>
        <v>183.89999999999995</v>
      </c>
      <c r="B14" s="114">
        <f>'2'!D20+0.000000001</f>
        <v>187.00000000099993</v>
      </c>
      <c r="C14" s="37"/>
      <c r="D14" s="118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1</v>
      </c>
      <c r="K14" s="85">
        <v>0</v>
      </c>
      <c r="L14" s="85">
        <v>0</v>
      </c>
      <c r="M14" s="115">
        <v>2</v>
      </c>
      <c r="N14" s="127">
        <f t="shared" si="0"/>
        <v>3</v>
      </c>
    </row>
    <row r="15" spans="1:15" ht="17" thickBot="1">
      <c r="A15" s="128"/>
      <c r="B15" s="129"/>
      <c r="C15" s="130"/>
      <c r="D15" s="131">
        <f>SUM(D5:D14)</f>
        <v>6</v>
      </c>
      <c r="E15" s="132">
        <f t="shared" ref="E15:M15" si="1">SUM(E5:E14)</f>
        <v>9</v>
      </c>
      <c r="F15" s="132">
        <f t="shared" si="1"/>
        <v>27</v>
      </c>
      <c r="G15" s="132">
        <f t="shared" si="1"/>
        <v>40</v>
      </c>
      <c r="H15" s="132">
        <f t="shared" si="1"/>
        <v>36</v>
      </c>
      <c r="I15" s="132">
        <f t="shared" si="1"/>
        <v>45</v>
      </c>
      <c r="J15" s="132">
        <f t="shared" si="1"/>
        <v>12</v>
      </c>
      <c r="K15" s="132">
        <f t="shared" si="1"/>
        <v>15</v>
      </c>
      <c r="L15" s="132">
        <f t="shared" si="1"/>
        <v>6</v>
      </c>
      <c r="M15" s="132">
        <f t="shared" si="1"/>
        <v>4</v>
      </c>
      <c r="N15" s="133">
        <f>SUM(D15:M15)</f>
        <v>200</v>
      </c>
    </row>
    <row r="16" spans="1:15">
      <c r="C16" s="107"/>
    </row>
    <row r="17" spans="1:15" ht="17" thickBot="1"/>
    <row r="18" spans="1:15">
      <c r="A18" s="134" t="s">
        <v>47</v>
      </c>
      <c r="B18" s="135"/>
      <c r="C18" s="135"/>
      <c r="D18" s="135"/>
      <c r="E18" s="135"/>
      <c r="F18" s="135"/>
      <c r="G18" s="136"/>
    </row>
    <row r="19" spans="1:15" ht="17" thickBot="1">
      <c r="A19" s="137"/>
      <c r="B19" s="138"/>
      <c r="C19" s="138"/>
      <c r="D19" s="138"/>
      <c r="E19" s="138"/>
      <c r="F19" s="138"/>
      <c r="G19" s="139"/>
    </row>
    <row r="22" spans="1:15" ht="17" thickBo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</row>
    <row r="23" spans="1:15">
      <c r="A23" s="176" t="s">
        <v>49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8"/>
    </row>
    <row r="24" spans="1:15">
      <c r="A24" s="149"/>
      <c r="B24" s="150"/>
      <c r="C24" s="143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55"/>
      <c r="O24" s="179"/>
    </row>
    <row r="25" spans="1:15">
      <c r="A25" s="122"/>
      <c r="B25" s="109"/>
      <c r="C25" s="142"/>
      <c r="D25" s="148" cm="1">
        <f t="array" ref="D25:M25">TRANSPOSE('4'!L9:L18)</f>
        <v>51.7</v>
      </c>
      <c r="E25" s="146">
        <v>55.099999999999994</v>
      </c>
      <c r="F25" s="146">
        <v>58.5</v>
      </c>
      <c r="G25" s="146">
        <v>61.899999999999991</v>
      </c>
      <c r="H25" s="146">
        <v>65.3</v>
      </c>
      <c r="I25" s="146">
        <v>68.7</v>
      </c>
      <c r="J25" s="146">
        <v>72.100000000000009</v>
      </c>
      <c r="K25" s="146">
        <v>75.500000000000014</v>
      </c>
      <c r="L25" s="146">
        <v>78.90000000000002</v>
      </c>
      <c r="M25" s="151">
        <v>82.300000000000026</v>
      </c>
      <c r="N25" s="59"/>
      <c r="O25" s="179"/>
    </row>
    <row r="26" spans="1:15">
      <c r="A26" s="140"/>
      <c r="B26" s="1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152"/>
      <c r="O26" s="180"/>
    </row>
    <row r="27" spans="1:15">
      <c r="A27" s="144">
        <f>'4'!E9</f>
        <v>157.55000000000001</v>
      </c>
      <c r="B27" s="145"/>
      <c r="C27" s="37"/>
      <c r="D27" s="117">
        <f>D5</f>
        <v>2</v>
      </c>
      <c r="E27" s="118">
        <f t="shared" ref="E27:M27" si="2">E5</f>
        <v>1</v>
      </c>
      <c r="F27" s="118">
        <f t="shared" si="2"/>
        <v>5</v>
      </c>
      <c r="G27" s="118">
        <f t="shared" si="2"/>
        <v>1</v>
      </c>
      <c r="H27" s="118">
        <f t="shared" si="2"/>
        <v>0</v>
      </c>
      <c r="I27" s="118">
        <f t="shared" si="2"/>
        <v>0</v>
      </c>
      <c r="J27" s="118">
        <f t="shared" si="2"/>
        <v>0</v>
      </c>
      <c r="K27" s="118">
        <f t="shared" si="2"/>
        <v>0</v>
      </c>
      <c r="L27" s="118">
        <f t="shared" si="2"/>
        <v>0</v>
      </c>
      <c r="M27" s="118">
        <f t="shared" si="2"/>
        <v>0</v>
      </c>
      <c r="N27" s="153">
        <f t="shared" ref="N27:N37" si="3">SUM(D27:M27)</f>
        <v>9</v>
      </c>
      <c r="O27" s="181">
        <f>SUMPRODUCT(_xlfn.ANCHORARRAY($D$25),D27:M27)/N27</f>
        <v>56.988888888888887</v>
      </c>
    </row>
    <row r="28" spans="1:15">
      <c r="A28" s="144">
        <f>'4'!E10</f>
        <v>160.64999999999998</v>
      </c>
      <c r="B28" s="145"/>
      <c r="C28" s="37"/>
      <c r="D28" s="118">
        <f t="shared" ref="D28:M28" si="4">D6</f>
        <v>2</v>
      </c>
      <c r="E28" s="117">
        <f t="shared" si="4"/>
        <v>4</v>
      </c>
      <c r="F28" s="118">
        <f t="shared" si="4"/>
        <v>2</v>
      </c>
      <c r="G28" s="118">
        <f t="shared" si="4"/>
        <v>2</v>
      </c>
      <c r="H28" s="118">
        <f t="shared" si="4"/>
        <v>1</v>
      </c>
      <c r="I28" s="118">
        <f t="shared" si="4"/>
        <v>0</v>
      </c>
      <c r="J28" s="118">
        <f t="shared" si="4"/>
        <v>0</v>
      </c>
      <c r="K28" s="118">
        <f t="shared" si="4"/>
        <v>0</v>
      </c>
      <c r="L28" s="118">
        <f t="shared" si="4"/>
        <v>0</v>
      </c>
      <c r="M28" s="118">
        <f t="shared" si="4"/>
        <v>0</v>
      </c>
      <c r="N28" s="153">
        <f t="shared" si="3"/>
        <v>11</v>
      </c>
      <c r="O28" s="181">
        <f>SUMPRODUCT(_xlfn.ANCHORARRAY($D$25),D28:M28)/N28</f>
        <v>57.263636363636351</v>
      </c>
    </row>
    <row r="29" spans="1:15">
      <c r="A29" s="144">
        <f>'4'!E11</f>
        <v>163.75</v>
      </c>
      <c r="B29" s="145"/>
      <c r="C29" s="37"/>
      <c r="D29" s="118">
        <f t="shared" ref="D29:M29" si="5">D7</f>
        <v>0</v>
      </c>
      <c r="E29" s="118">
        <f t="shared" si="5"/>
        <v>2</v>
      </c>
      <c r="F29" s="117">
        <f t="shared" si="5"/>
        <v>7</v>
      </c>
      <c r="G29" s="118">
        <f t="shared" si="5"/>
        <v>10</v>
      </c>
      <c r="H29" s="118">
        <f t="shared" si="5"/>
        <v>6</v>
      </c>
      <c r="I29" s="118">
        <f t="shared" si="5"/>
        <v>3</v>
      </c>
      <c r="J29" s="118">
        <f t="shared" si="5"/>
        <v>0</v>
      </c>
      <c r="K29" s="118">
        <f t="shared" si="5"/>
        <v>0</v>
      </c>
      <c r="L29" s="118">
        <f t="shared" si="5"/>
        <v>0</v>
      </c>
      <c r="M29" s="118">
        <f t="shared" si="5"/>
        <v>0</v>
      </c>
      <c r="N29" s="153">
        <f t="shared" si="3"/>
        <v>28</v>
      </c>
      <c r="O29" s="181">
        <f t="shared" ref="O29:O36" si="6">SUMPRODUCT(_xlfn.ANCHORARRAY($D$25),D29:M29)/N29</f>
        <v>62.021428571428565</v>
      </c>
    </row>
    <row r="30" spans="1:15">
      <c r="A30" s="144">
        <f>'4'!E12</f>
        <v>166.84999999999997</v>
      </c>
      <c r="B30" s="145"/>
      <c r="C30" s="37"/>
      <c r="D30" s="118">
        <f t="shared" ref="D30:M30" si="7">D8</f>
        <v>2</v>
      </c>
      <c r="E30" s="118">
        <f t="shared" si="7"/>
        <v>2</v>
      </c>
      <c r="F30" s="118">
        <f t="shared" si="7"/>
        <v>6</v>
      </c>
      <c r="G30" s="117">
        <f t="shared" si="7"/>
        <v>12</v>
      </c>
      <c r="H30" s="118">
        <f t="shared" si="7"/>
        <v>4</v>
      </c>
      <c r="I30" s="118">
        <f t="shared" si="7"/>
        <v>6</v>
      </c>
      <c r="J30" s="118">
        <f t="shared" si="7"/>
        <v>1</v>
      </c>
      <c r="K30" s="118">
        <f t="shared" si="7"/>
        <v>0</v>
      </c>
      <c r="L30" s="118">
        <f t="shared" si="7"/>
        <v>2</v>
      </c>
      <c r="M30" s="118">
        <f t="shared" si="7"/>
        <v>0</v>
      </c>
      <c r="N30" s="153">
        <f t="shared" si="3"/>
        <v>35</v>
      </c>
      <c r="O30" s="181">
        <f t="shared" si="6"/>
        <v>63.162857142857149</v>
      </c>
    </row>
    <row r="31" spans="1:15">
      <c r="A31" s="144">
        <f>'4'!E13</f>
        <v>169.95</v>
      </c>
      <c r="B31" s="145"/>
      <c r="C31" s="37"/>
      <c r="D31" s="118">
        <f t="shared" ref="D31:M31" si="8">D9</f>
        <v>0</v>
      </c>
      <c r="E31" s="118">
        <f t="shared" si="8"/>
        <v>0</v>
      </c>
      <c r="F31" s="118">
        <f t="shared" si="8"/>
        <v>5</v>
      </c>
      <c r="G31" s="118">
        <f t="shared" si="8"/>
        <v>12</v>
      </c>
      <c r="H31" s="117">
        <f t="shared" si="8"/>
        <v>15</v>
      </c>
      <c r="I31" s="118">
        <f t="shared" si="8"/>
        <v>15</v>
      </c>
      <c r="J31" s="118">
        <f t="shared" si="8"/>
        <v>3</v>
      </c>
      <c r="K31" s="118">
        <f t="shared" si="8"/>
        <v>4</v>
      </c>
      <c r="L31" s="118">
        <f t="shared" si="8"/>
        <v>0</v>
      </c>
      <c r="M31" s="118">
        <f t="shared" si="8"/>
        <v>0</v>
      </c>
      <c r="N31" s="153">
        <f t="shared" si="3"/>
        <v>54</v>
      </c>
      <c r="O31" s="181">
        <f t="shared" si="6"/>
        <v>65.992592592592601</v>
      </c>
    </row>
    <row r="32" spans="1:15">
      <c r="A32" s="144">
        <f>'4'!E14</f>
        <v>173.04999999999995</v>
      </c>
      <c r="B32" s="145"/>
      <c r="C32" s="37"/>
      <c r="D32" s="118">
        <f t="shared" ref="D32:M32" si="9">D10</f>
        <v>0</v>
      </c>
      <c r="E32" s="118">
        <f t="shared" si="9"/>
        <v>0</v>
      </c>
      <c r="F32" s="118">
        <f t="shared" si="9"/>
        <v>0</v>
      </c>
      <c r="G32" s="118">
        <f t="shared" si="9"/>
        <v>2</v>
      </c>
      <c r="H32" s="118">
        <f t="shared" si="9"/>
        <v>9</v>
      </c>
      <c r="I32" s="117">
        <f t="shared" si="9"/>
        <v>16</v>
      </c>
      <c r="J32" s="118">
        <f t="shared" si="9"/>
        <v>1</v>
      </c>
      <c r="K32" s="118">
        <f t="shared" si="9"/>
        <v>8</v>
      </c>
      <c r="L32" s="118">
        <f t="shared" si="9"/>
        <v>1</v>
      </c>
      <c r="M32" s="118">
        <f t="shared" si="9"/>
        <v>0</v>
      </c>
      <c r="N32" s="153">
        <f t="shared" si="3"/>
        <v>37</v>
      </c>
      <c r="O32" s="181">
        <f t="shared" si="6"/>
        <v>69.343243243243236</v>
      </c>
    </row>
    <row r="33" spans="1:16">
      <c r="A33" s="144">
        <f>'4'!E15</f>
        <v>176.14999999999998</v>
      </c>
      <c r="B33" s="145"/>
      <c r="C33" s="37"/>
      <c r="D33" s="118">
        <f t="shared" ref="D33:M33" si="10">D11</f>
        <v>0</v>
      </c>
      <c r="E33" s="118">
        <f t="shared" si="10"/>
        <v>0</v>
      </c>
      <c r="F33" s="118">
        <f t="shared" si="10"/>
        <v>1</v>
      </c>
      <c r="G33" s="118">
        <f t="shared" si="10"/>
        <v>0</v>
      </c>
      <c r="H33" s="118">
        <f t="shared" si="10"/>
        <v>0</v>
      </c>
      <c r="I33" s="118">
        <f t="shared" si="10"/>
        <v>3</v>
      </c>
      <c r="J33" s="117">
        <f t="shared" si="10"/>
        <v>3</v>
      </c>
      <c r="K33" s="118">
        <f t="shared" si="10"/>
        <v>1</v>
      </c>
      <c r="L33" s="118">
        <f t="shared" si="10"/>
        <v>2</v>
      </c>
      <c r="M33" s="118">
        <f t="shared" si="10"/>
        <v>2</v>
      </c>
      <c r="N33" s="153">
        <f t="shared" si="3"/>
        <v>12</v>
      </c>
      <c r="O33" s="181">
        <f t="shared" si="6"/>
        <v>73.233333333333348</v>
      </c>
    </row>
    <row r="34" spans="1:16">
      <c r="A34" s="144">
        <f>'4'!E16</f>
        <v>179.24999999999994</v>
      </c>
      <c r="B34" s="145"/>
      <c r="C34" s="37"/>
      <c r="D34" s="118">
        <f t="shared" ref="D34:M34" si="11">D12</f>
        <v>0</v>
      </c>
      <c r="E34" s="118">
        <f t="shared" si="11"/>
        <v>0</v>
      </c>
      <c r="F34" s="118">
        <f t="shared" si="11"/>
        <v>1</v>
      </c>
      <c r="G34" s="118">
        <f t="shared" si="11"/>
        <v>1</v>
      </c>
      <c r="H34" s="118">
        <f t="shared" si="11"/>
        <v>0</v>
      </c>
      <c r="I34" s="118">
        <f t="shared" si="11"/>
        <v>2</v>
      </c>
      <c r="J34" s="118">
        <f t="shared" si="11"/>
        <v>3</v>
      </c>
      <c r="K34" s="117">
        <f t="shared" si="11"/>
        <v>2</v>
      </c>
      <c r="L34" s="118">
        <f t="shared" si="11"/>
        <v>1</v>
      </c>
      <c r="M34" s="118">
        <f t="shared" si="11"/>
        <v>0</v>
      </c>
      <c r="N34" s="153">
        <f t="shared" si="3"/>
        <v>10</v>
      </c>
      <c r="O34" s="181">
        <f t="shared" si="6"/>
        <v>70.400000000000006</v>
      </c>
    </row>
    <row r="35" spans="1:16">
      <c r="A35" s="144">
        <f>'4'!E17</f>
        <v>182.34999999999997</v>
      </c>
      <c r="B35" s="145"/>
      <c r="C35" s="37"/>
      <c r="D35" s="118">
        <f t="shared" ref="D35:M35" si="12">D13</f>
        <v>0</v>
      </c>
      <c r="E35" s="118">
        <f t="shared" si="12"/>
        <v>0</v>
      </c>
      <c r="F35" s="118">
        <f t="shared" si="12"/>
        <v>0</v>
      </c>
      <c r="G35" s="118">
        <f t="shared" si="12"/>
        <v>0</v>
      </c>
      <c r="H35" s="118">
        <f t="shared" si="12"/>
        <v>1</v>
      </c>
      <c r="I35" s="118">
        <f t="shared" si="12"/>
        <v>0</v>
      </c>
      <c r="J35" s="118">
        <f t="shared" si="12"/>
        <v>0</v>
      </c>
      <c r="K35" s="118">
        <f t="shared" si="12"/>
        <v>0</v>
      </c>
      <c r="L35" s="117">
        <f t="shared" si="12"/>
        <v>0</v>
      </c>
      <c r="M35" s="118">
        <f t="shared" si="12"/>
        <v>0</v>
      </c>
      <c r="N35" s="153">
        <f t="shared" si="3"/>
        <v>1</v>
      </c>
      <c r="O35" s="181">
        <f t="shared" si="6"/>
        <v>65.3</v>
      </c>
    </row>
    <row r="36" spans="1:16">
      <c r="A36" s="144">
        <f>'4'!E18</f>
        <v>185.44999999999993</v>
      </c>
      <c r="B36" s="145"/>
      <c r="C36" s="37"/>
      <c r="D36" s="118">
        <f t="shared" ref="D36:M36" si="13">D14</f>
        <v>0</v>
      </c>
      <c r="E36" s="118">
        <f t="shared" si="13"/>
        <v>0</v>
      </c>
      <c r="F36" s="118">
        <f t="shared" si="13"/>
        <v>0</v>
      </c>
      <c r="G36" s="118">
        <f t="shared" si="13"/>
        <v>0</v>
      </c>
      <c r="H36" s="118">
        <f t="shared" si="13"/>
        <v>0</v>
      </c>
      <c r="I36" s="118">
        <f t="shared" si="13"/>
        <v>0</v>
      </c>
      <c r="J36" s="118">
        <f t="shared" si="13"/>
        <v>1</v>
      </c>
      <c r="K36" s="118">
        <f t="shared" si="13"/>
        <v>0</v>
      </c>
      <c r="L36" s="118">
        <f t="shared" si="13"/>
        <v>0</v>
      </c>
      <c r="M36" s="117">
        <f t="shared" si="13"/>
        <v>2</v>
      </c>
      <c r="N36" s="153">
        <f t="shared" si="3"/>
        <v>3</v>
      </c>
      <c r="O36" s="181">
        <f t="shared" si="6"/>
        <v>78.90000000000002</v>
      </c>
    </row>
    <row r="37" spans="1:16" ht="17" thickBot="1">
      <c r="A37" s="128"/>
      <c r="B37" s="129"/>
      <c r="C37" s="130"/>
      <c r="D37" s="131">
        <f>SUM(D27:D36)</f>
        <v>6</v>
      </c>
      <c r="E37" s="132">
        <f t="shared" ref="E37:M37" si="14">SUM(E27:E36)</f>
        <v>9</v>
      </c>
      <c r="F37" s="132">
        <f t="shared" si="14"/>
        <v>27</v>
      </c>
      <c r="G37" s="132">
        <f t="shared" si="14"/>
        <v>40</v>
      </c>
      <c r="H37" s="132">
        <f t="shared" si="14"/>
        <v>36</v>
      </c>
      <c r="I37" s="132">
        <f t="shared" si="14"/>
        <v>45</v>
      </c>
      <c r="J37" s="132">
        <f t="shared" si="14"/>
        <v>12</v>
      </c>
      <c r="K37" s="132">
        <f t="shared" si="14"/>
        <v>15</v>
      </c>
      <c r="L37" s="132">
        <f t="shared" si="14"/>
        <v>6</v>
      </c>
      <c r="M37" s="132">
        <f t="shared" si="14"/>
        <v>4</v>
      </c>
      <c r="N37" s="116">
        <f>SUM(D37:M37)</f>
        <v>200</v>
      </c>
      <c r="O37" s="182"/>
      <c r="P37" s="107"/>
    </row>
    <row r="38" spans="1:16">
      <c r="O38" s="107"/>
    </row>
    <row r="39" spans="1:16" ht="17" thickBot="1"/>
    <row r="40" spans="1:16">
      <c r="A40" s="134" t="s">
        <v>48</v>
      </c>
      <c r="B40" s="135"/>
      <c r="C40" s="135"/>
      <c r="D40" s="135"/>
      <c r="E40" s="135"/>
      <c r="F40" s="135"/>
      <c r="G40" s="136"/>
    </row>
    <row r="41" spans="1:16" ht="17" thickBot="1">
      <c r="A41" s="137"/>
      <c r="B41" s="138"/>
      <c r="C41" s="138"/>
      <c r="D41" s="138"/>
      <c r="E41" s="138"/>
      <c r="F41" s="138"/>
      <c r="G41" s="139"/>
    </row>
  </sheetData>
  <mergeCells count="23">
    <mergeCell ref="A23:O23"/>
    <mergeCell ref="O24:O25"/>
    <mergeCell ref="A40:G41"/>
    <mergeCell ref="A32:B32"/>
    <mergeCell ref="A33:B33"/>
    <mergeCell ref="A34:B34"/>
    <mergeCell ref="A35:B35"/>
    <mergeCell ref="A36:B36"/>
    <mergeCell ref="A24:B25"/>
    <mergeCell ref="N24:N25"/>
    <mergeCell ref="A37:B37"/>
    <mergeCell ref="A26:B26"/>
    <mergeCell ref="C24:C25"/>
    <mergeCell ref="A27:B27"/>
    <mergeCell ref="A28:B28"/>
    <mergeCell ref="A29:B29"/>
    <mergeCell ref="A30:B30"/>
    <mergeCell ref="A31:B31"/>
    <mergeCell ref="A2:B3"/>
    <mergeCell ref="N2:N3"/>
    <mergeCell ref="A15:B15"/>
    <mergeCell ref="A1:N1"/>
    <mergeCell ref="A18:G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78EA-A72E-3A49-B113-7A81D3AD9EE4}">
  <dimension ref="A1:R23"/>
  <sheetViews>
    <sheetView zoomScale="119" zoomScaleNormal="140" workbookViewId="0">
      <selection activeCell="M3" sqref="M3"/>
    </sheetView>
  </sheetViews>
  <sheetFormatPr baseColWidth="10" defaultRowHeight="16"/>
  <cols>
    <col min="1" max="1" width="18.33203125" customWidth="1"/>
    <col min="2" max="3" width="20" customWidth="1"/>
    <col min="17" max="17" width="19" customWidth="1"/>
  </cols>
  <sheetData>
    <row r="1" spans="1:18">
      <c r="A1" s="158" t="s">
        <v>49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spans="1:18">
      <c r="A2" s="149"/>
      <c r="B2" s="150"/>
      <c r="C2" s="143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55"/>
      <c r="O2" s="156"/>
      <c r="P2" s="168"/>
      <c r="Q2" s="168"/>
      <c r="R2" s="168"/>
    </row>
    <row r="3" spans="1:18">
      <c r="A3" s="122"/>
      <c r="B3" s="109"/>
      <c r="C3" s="142"/>
      <c r="D3" s="148" cm="1">
        <f t="array" ref="D3:M3">TRANSPOSE('4'!L9:L18)</f>
        <v>51.7</v>
      </c>
      <c r="E3" s="146">
        <v>55.099999999999994</v>
      </c>
      <c r="F3" s="146">
        <v>58.5</v>
      </c>
      <c r="G3" s="146">
        <v>61.899999999999991</v>
      </c>
      <c r="H3" s="146">
        <v>65.3</v>
      </c>
      <c r="I3" s="146">
        <v>68.7</v>
      </c>
      <c r="J3" s="146">
        <v>72.100000000000009</v>
      </c>
      <c r="K3" s="146">
        <v>75.500000000000014</v>
      </c>
      <c r="L3" s="146">
        <v>78.90000000000002</v>
      </c>
      <c r="M3" s="151">
        <v>82.300000000000026</v>
      </c>
      <c r="N3" s="59"/>
      <c r="O3" s="156"/>
      <c r="P3" s="169"/>
      <c r="Q3" s="169"/>
      <c r="R3" s="169"/>
    </row>
    <row r="4" spans="1:18">
      <c r="A4" s="140"/>
      <c r="B4" s="141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152"/>
      <c r="O4" s="157"/>
      <c r="P4" s="106"/>
      <c r="Q4" s="106"/>
      <c r="R4" s="106"/>
    </row>
    <row r="5" spans="1:18">
      <c r="A5" s="144">
        <f>'4'!E9</f>
        <v>157.55000000000001</v>
      </c>
      <c r="B5" s="145"/>
      <c r="C5" s="37"/>
      <c r="D5" s="117">
        <f>'10'!D27</f>
        <v>2</v>
      </c>
      <c r="E5" s="118">
        <f>'10'!E27</f>
        <v>1</v>
      </c>
      <c r="F5" s="118">
        <f>'10'!F27</f>
        <v>5</v>
      </c>
      <c r="G5" s="118">
        <f>'10'!G27</f>
        <v>1</v>
      </c>
      <c r="H5" s="118">
        <f>'10'!H27</f>
        <v>0</v>
      </c>
      <c r="I5" s="118">
        <f>'10'!I27</f>
        <v>0</v>
      </c>
      <c r="J5" s="118">
        <f>'10'!J27</f>
        <v>0</v>
      </c>
      <c r="K5" s="118">
        <f>'10'!K27</f>
        <v>0</v>
      </c>
      <c r="L5" s="118">
        <f>'10'!L27</f>
        <v>0</v>
      </c>
      <c r="M5" s="118">
        <f>'10'!M27</f>
        <v>0</v>
      </c>
      <c r="N5" s="173">
        <f t="shared" ref="N5:N15" si="0">SUM(D5:M5)</f>
        <v>9</v>
      </c>
      <c r="O5" s="172">
        <f>SUMPRODUCT(_xlfn.ANCHORARRAY($D$3),D5:M5)/N5</f>
        <v>56.988888888888887</v>
      </c>
      <c r="P5" s="171">
        <f>SUMPRODUCT(_xlfn.ANCHORARRAY($D$3),_xlfn.ANCHORARRAY($D$3),D5:M5)/N5</f>
        <v>3258.2944444444447</v>
      </c>
      <c r="Q5" s="171">
        <f>P5-(O5^2)</f>
        <v>10.560987654321252</v>
      </c>
      <c r="R5" s="171">
        <f>(O5-$O$15)^2</f>
        <v>72.796920012345723</v>
      </c>
    </row>
    <row r="6" spans="1:18">
      <c r="A6" s="144">
        <f>'4'!E10</f>
        <v>160.64999999999998</v>
      </c>
      <c r="B6" s="145"/>
      <c r="C6" s="37"/>
      <c r="D6" s="118">
        <f>'10'!D28</f>
        <v>2</v>
      </c>
      <c r="E6" s="117">
        <f>'10'!E28</f>
        <v>4</v>
      </c>
      <c r="F6" s="118">
        <f>'10'!F28</f>
        <v>2</v>
      </c>
      <c r="G6" s="118">
        <f>'10'!G28</f>
        <v>2</v>
      </c>
      <c r="H6" s="118">
        <f>'10'!H28</f>
        <v>1</v>
      </c>
      <c r="I6" s="118">
        <f>'10'!I28</f>
        <v>0</v>
      </c>
      <c r="J6" s="118">
        <f>'10'!J28</f>
        <v>0</v>
      </c>
      <c r="K6" s="118">
        <f>'10'!K28</f>
        <v>0</v>
      </c>
      <c r="L6" s="118">
        <f>'10'!L28</f>
        <v>0</v>
      </c>
      <c r="M6" s="118">
        <f>'10'!M28</f>
        <v>0</v>
      </c>
      <c r="N6" s="173">
        <f t="shared" si="0"/>
        <v>11</v>
      </c>
      <c r="O6" s="172">
        <f t="shared" ref="O6:O14" si="1">SUMPRODUCT(_xlfn.ANCHORARRAY($D$3),D6:M6)/N6</f>
        <v>57.263636363636351</v>
      </c>
      <c r="P6" s="171">
        <f t="shared" ref="P6:P14" si="2">SUMPRODUCT(_xlfn.ANCHORARRAY($D$3),_xlfn.ANCHORARRAY($D$3),D6:M6)/N6</f>
        <v>3296.5118181818179</v>
      </c>
      <c r="Q6" s="171">
        <f t="shared" ref="Q6:Q14" si="3">P6-(O6^2)</f>
        <v>17.387768595042417</v>
      </c>
      <c r="R6" s="171">
        <f t="shared" ref="R6:R14" si="4">(O6-$O$15)^2</f>
        <v>68.18405422314072</v>
      </c>
    </row>
    <row r="7" spans="1:18">
      <c r="A7" s="144">
        <f>'4'!E11</f>
        <v>163.75</v>
      </c>
      <c r="B7" s="145"/>
      <c r="C7" s="37"/>
      <c r="D7" s="118">
        <f>'10'!D29</f>
        <v>0</v>
      </c>
      <c r="E7" s="118">
        <f>'10'!E29</f>
        <v>2</v>
      </c>
      <c r="F7" s="117">
        <f>'10'!F29</f>
        <v>7</v>
      </c>
      <c r="G7" s="118">
        <f>'10'!G29</f>
        <v>10</v>
      </c>
      <c r="H7" s="118">
        <f>'10'!H29</f>
        <v>6</v>
      </c>
      <c r="I7" s="118">
        <f>'10'!I29</f>
        <v>3</v>
      </c>
      <c r="J7" s="118">
        <f>'10'!J29</f>
        <v>0</v>
      </c>
      <c r="K7" s="118">
        <f>'10'!K29</f>
        <v>0</v>
      </c>
      <c r="L7" s="118">
        <f>'10'!L29</f>
        <v>0</v>
      </c>
      <c r="M7" s="118">
        <f>'10'!M29</f>
        <v>0</v>
      </c>
      <c r="N7" s="173">
        <f t="shared" si="0"/>
        <v>28</v>
      </c>
      <c r="O7" s="172">
        <f t="shared" si="1"/>
        <v>62.021428571428565</v>
      </c>
      <c r="P7" s="171">
        <f t="shared" si="2"/>
        <v>3860.2671428571425</v>
      </c>
      <c r="Q7" s="171">
        <f t="shared" si="3"/>
        <v>13.609540816326898</v>
      </c>
      <c r="R7" s="171">
        <f t="shared" si="4"/>
        <v>12.247000183673519</v>
      </c>
    </row>
    <row r="8" spans="1:18">
      <c r="A8" s="144">
        <f>'4'!E12</f>
        <v>166.84999999999997</v>
      </c>
      <c r="B8" s="145"/>
      <c r="C8" s="37"/>
      <c r="D8" s="118">
        <f>'10'!D30</f>
        <v>2</v>
      </c>
      <c r="E8" s="118">
        <f>'10'!E30</f>
        <v>2</v>
      </c>
      <c r="F8" s="118">
        <f>'10'!F30</f>
        <v>6</v>
      </c>
      <c r="G8" s="117">
        <f>'10'!G30</f>
        <v>12</v>
      </c>
      <c r="H8" s="118">
        <f>'10'!H30</f>
        <v>4</v>
      </c>
      <c r="I8" s="118">
        <f>'10'!I30</f>
        <v>6</v>
      </c>
      <c r="J8" s="118">
        <f>'10'!J30</f>
        <v>1</v>
      </c>
      <c r="K8" s="118">
        <f>'10'!K30</f>
        <v>0</v>
      </c>
      <c r="L8" s="118">
        <f>'10'!L30</f>
        <v>2</v>
      </c>
      <c r="M8" s="118">
        <f>'10'!M30</f>
        <v>0</v>
      </c>
      <c r="N8" s="173">
        <f t="shared" si="0"/>
        <v>35</v>
      </c>
      <c r="O8" s="172">
        <f t="shared" si="1"/>
        <v>63.162857142857149</v>
      </c>
      <c r="P8" s="171">
        <f t="shared" si="2"/>
        <v>4027.2557142857136</v>
      </c>
      <c r="Q8" s="171">
        <f t="shared" si="3"/>
        <v>37.709191836733226</v>
      </c>
      <c r="R8" s="171">
        <f t="shared" si="4"/>
        <v>5.5608377346938518</v>
      </c>
    </row>
    <row r="9" spans="1:18">
      <c r="A9" s="144">
        <f>'4'!E13</f>
        <v>169.95</v>
      </c>
      <c r="B9" s="145"/>
      <c r="C9" s="37"/>
      <c r="D9" s="118">
        <f>'10'!D31</f>
        <v>0</v>
      </c>
      <c r="E9" s="118">
        <f>'10'!E31</f>
        <v>0</v>
      </c>
      <c r="F9" s="118">
        <f>'10'!F31</f>
        <v>5</v>
      </c>
      <c r="G9" s="118">
        <f>'10'!G31</f>
        <v>12</v>
      </c>
      <c r="H9" s="117">
        <f>'10'!H31</f>
        <v>15</v>
      </c>
      <c r="I9" s="118">
        <f>'10'!I31</f>
        <v>15</v>
      </c>
      <c r="J9" s="118">
        <f>'10'!J31</f>
        <v>3</v>
      </c>
      <c r="K9" s="118">
        <f>'10'!K31</f>
        <v>4</v>
      </c>
      <c r="L9" s="118">
        <f>'10'!L31</f>
        <v>0</v>
      </c>
      <c r="M9" s="118">
        <f>'10'!M31</f>
        <v>0</v>
      </c>
      <c r="N9" s="173">
        <f t="shared" si="0"/>
        <v>54</v>
      </c>
      <c r="O9" s="172">
        <f t="shared" si="1"/>
        <v>65.992592592592601</v>
      </c>
      <c r="P9" s="171">
        <f t="shared" si="2"/>
        <v>4374.8796296296296</v>
      </c>
      <c r="Q9" s="171">
        <f t="shared" si="3"/>
        <v>19.857352537721454</v>
      </c>
      <c r="R9" s="171">
        <f t="shared" si="4"/>
        <v>0.22239957338821012</v>
      </c>
    </row>
    <row r="10" spans="1:18">
      <c r="A10" s="144">
        <f>'4'!E14</f>
        <v>173.04999999999995</v>
      </c>
      <c r="B10" s="145"/>
      <c r="C10" s="37"/>
      <c r="D10" s="118">
        <f>'10'!D32</f>
        <v>0</v>
      </c>
      <c r="E10" s="118">
        <f>'10'!E32</f>
        <v>0</v>
      </c>
      <c r="F10" s="118">
        <f>'10'!F32</f>
        <v>0</v>
      </c>
      <c r="G10" s="118">
        <f>'10'!G32</f>
        <v>2</v>
      </c>
      <c r="H10" s="118">
        <f>'10'!H32</f>
        <v>9</v>
      </c>
      <c r="I10" s="117">
        <f>'10'!I32</f>
        <v>16</v>
      </c>
      <c r="J10" s="118">
        <f>'10'!J32</f>
        <v>1</v>
      </c>
      <c r="K10" s="118">
        <f>'10'!K32</f>
        <v>8</v>
      </c>
      <c r="L10" s="118">
        <f>'10'!L32</f>
        <v>1</v>
      </c>
      <c r="M10" s="118">
        <f>'10'!M32</f>
        <v>0</v>
      </c>
      <c r="N10" s="173">
        <f t="shared" si="0"/>
        <v>37</v>
      </c>
      <c r="O10" s="172">
        <f t="shared" si="1"/>
        <v>69.343243243243236</v>
      </c>
      <c r="P10" s="171">
        <f t="shared" si="2"/>
        <v>4826.5051351351349</v>
      </c>
      <c r="Q10" s="171">
        <f t="shared" si="3"/>
        <v>18.019751643536438</v>
      </c>
      <c r="R10" s="171">
        <f t="shared" si="4"/>
        <v>14.609543410518569</v>
      </c>
    </row>
    <row r="11" spans="1:18">
      <c r="A11" s="144">
        <f>'4'!E15</f>
        <v>176.14999999999998</v>
      </c>
      <c r="B11" s="145"/>
      <c r="C11" s="37"/>
      <c r="D11" s="118">
        <f>'10'!D33</f>
        <v>0</v>
      </c>
      <c r="E11" s="118">
        <f>'10'!E33</f>
        <v>0</v>
      </c>
      <c r="F11" s="118">
        <f>'10'!F33</f>
        <v>1</v>
      </c>
      <c r="G11" s="118">
        <f>'10'!G33</f>
        <v>0</v>
      </c>
      <c r="H11" s="118">
        <f>'10'!H33</f>
        <v>0</v>
      </c>
      <c r="I11" s="118">
        <f>'10'!I33</f>
        <v>3</v>
      </c>
      <c r="J11" s="117">
        <f>'10'!J33</f>
        <v>3</v>
      </c>
      <c r="K11" s="118">
        <f>'10'!K33</f>
        <v>1</v>
      </c>
      <c r="L11" s="118">
        <f>'10'!L33</f>
        <v>2</v>
      </c>
      <c r="M11" s="118">
        <f>'10'!M33</f>
        <v>2</v>
      </c>
      <c r="N11" s="173">
        <f t="shared" si="0"/>
        <v>12</v>
      </c>
      <c r="O11" s="172">
        <f t="shared" si="1"/>
        <v>73.233333333333348</v>
      </c>
      <c r="P11" s="171">
        <f t="shared" si="2"/>
        <v>5406.1500000000015</v>
      </c>
      <c r="Q11" s="171">
        <f t="shared" si="3"/>
        <v>43.028888888888105</v>
      </c>
      <c r="R11" s="171">
        <f t="shared" si="4"/>
        <v>59.480085444444668</v>
      </c>
    </row>
    <row r="12" spans="1:18">
      <c r="A12" s="144">
        <f>'4'!E16</f>
        <v>179.24999999999994</v>
      </c>
      <c r="B12" s="145"/>
      <c r="C12" s="37"/>
      <c r="D12" s="118">
        <f>'10'!D34</f>
        <v>0</v>
      </c>
      <c r="E12" s="118">
        <f>'10'!E34</f>
        <v>0</v>
      </c>
      <c r="F12" s="118">
        <f>'10'!F34</f>
        <v>1</v>
      </c>
      <c r="G12" s="118">
        <f>'10'!G34</f>
        <v>1</v>
      </c>
      <c r="H12" s="118">
        <f>'10'!H34</f>
        <v>0</v>
      </c>
      <c r="I12" s="118">
        <f>'10'!I34</f>
        <v>2</v>
      </c>
      <c r="J12" s="118">
        <f>'10'!J34</f>
        <v>3</v>
      </c>
      <c r="K12" s="117">
        <f>'10'!K34</f>
        <v>2</v>
      </c>
      <c r="L12" s="118">
        <f>'10'!L34</f>
        <v>1</v>
      </c>
      <c r="M12" s="118">
        <f>'10'!M34</f>
        <v>0</v>
      </c>
      <c r="N12" s="173">
        <f t="shared" si="0"/>
        <v>10</v>
      </c>
      <c r="O12" s="172">
        <f t="shared" si="1"/>
        <v>70.400000000000006</v>
      </c>
      <c r="P12" s="171">
        <f t="shared" si="2"/>
        <v>4991.4180000000006</v>
      </c>
      <c r="Q12" s="171">
        <f t="shared" si="3"/>
        <v>35.257999999999811</v>
      </c>
      <c r="R12" s="171">
        <f t="shared" si="4"/>
        <v>23.804641000000046</v>
      </c>
    </row>
    <row r="13" spans="1:18">
      <c r="A13" s="144">
        <f>'4'!E17</f>
        <v>182.34999999999997</v>
      </c>
      <c r="B13" s="145"/>
      <c r="C13" s="37"/>
      <c r="D13" s="118">
        <f>'10'!D35</f>
        <v>0</v>
      </c>
      <c r="E13" s="118">
        <f>'10'!E35</f>
        <v>0</v>
      </c>
      <c r="F13" s="118">
        <f>'10'!F35</f>
        <v>0</v>
      </c>
      <c r="G13" s="118">
        <f>'10'!G35</f>
        <v>0</v>
      </c>
      <c r="H13" s="118">
        <f>'10'!H35</f>
        <v>1</v>
      </c>
      <c r="I13" s="118">
        <f>'10'!I35</f>
        <v>0</v>
      </c>
      <c r="J13" s="118">
        <f>'10'!J35</f>
        <v>0</v>
      </c>
      <c r="K13" s="118">
        <f>'10'!K35</f>
        <v>0</v>
      </c>
      <c r="L13" s="117">
        <f>'10'!L35</f>
        <v>0</v>
      </c>
      <c r="M13" s="118">
        <f>'10'!M35</f>
        <v>0</v>
      </c>
      <c r="N13" s="173">
        <f t="shared" si="0"/>
        <v>1</v>
      </c>
      <c r="O13" s="172">
        <f t="shared" si="1"/>
        <v>65.3</v>
      </c>
      <c r="P13" s="171">
        <f t="shared" si="2"/>
        <v>4264.0899999999992</v>
      </c>
      <c r="Q13" s="171">
        <f t="shared" si="3"/>
        <v>0</v>
      </c>
      <c r="R13" s="171">
        <f t="shared" si="4"/>
        <v>4.8841000000001605E-2</v>
      </c>
    </row>
    <row r="14" spans="1:18">
      <c r="A14" s="144">
        <f>'4'!E18</f>
        <v>185.44999999999993</v>
      </c>
      <c r="B14" s="145"/>
      <c r="C14" s="37"/>
      <c r="D14" s="118">
        <f>'10'!D36</f>
        <v>0</v>
      </c>
      <c r="E14" s="118">
        <f>'10'!E36</f>
        <v>0</v>
      </c>
      <c r="F14" s="118">
        <f>'10'!F36</f>
        <v>0</v>
      </c>
      <c r="G14" s="118">
        <f>'10'!G36</f>
        <v>0</v>
      </c>
      <c r="H14" s="118">
        <f>'10'!H36</f>
        <v>0</v>
      </c>
      <c r="I14" s="118">
        <f>'10'!I36</f>
        <v>0</v>
      </c>
      <c r="J14" s="118">
        <f>'10'!J36</f>
        <v>1</v>
      </c>
      <c r="K14" s="118">
        <f>'10'!K36</f>
        <v>0</v>
      </c>
      <c r="L14" s="118">
        <f>'10'!L36</f>
        <v>0</v>
      </c>
      <c r="M14" s="117">
        <f>'10'!M36</f>
        <v>2</v>
      </c>
      <c r="N14" s="173">
        <f t="shared" si="0"/>
        <v>3</v>
      </c>
      <c r="O14" s="172">
        <f t="shared" si="1"/>
        <v>78.90000000000002</v>
      </c>
      <c r="P14" s="171">
        <f t="shared" si="2"/>
        <v>6248.3300000000045</v>
      </c>
      <c r="Q14" s="171">
        <f t="shared" si="3"/>
        <v>23.12000000000171</v>
      </c>
      <c r="R14" s="171">
        <f t="shared" si="4"/>
        <v>178.9976410000005</v>
      </c>
    </row>
    <row r="15" spans="1:18" ht="17" thickBot="1">
      <c r="A15" s="128"/>
      <c r="B15" s="129"/>
      <c r="C15" s="37"/>
      <c r="D15" s="131">
        <f>SUM(D5:D14)</f>
        <v>6</v>
      </c>
      <c r="E15" s="132">
        <f t="shared" ref="E15:M15" si="5">SUM(E5:E14)</f>
        <v>9</v>
      </c>
      <c r="F15" s="132">
        <f t="shared" si="5"/>
        <v>27</v>
      </c>
      <c r="G15" s="132">
        <f t="shared" si="5"/>
        <v>40</v>
      </c>
      <c r="H15" s="132">
        <f t="shared" si="5"/>
        <v>36</v>
      </c>
      <c r="I15" s="132">
        <f t="shared" si="5"/>
        <v>45</v>
      </c>
      <c r="J15" s="132">
        <f t="shared" si="5"/>
        <v>12</v>
      </c>
      <c r="K15" s="132">
        <f t="shared" si="5"/>
        <v>15</v>
      </c>
      <c r="L15" s="132">
        <f t="shared" si="5"/>
        <v>6</v>
      </c>
      <c r="M15" s="132">
        <f t="shared" si="5"/>
        <v>4</v>
      </c>
      <c r="N15" s="116">
        <f>SUM(D15:M15)</f>
        <v>200</v>
      </c>
      <c r="O15" s="154">
        <f>SUMPRODUCT(N5:N14,O5:O14)/N15</f>
        <v>65.521000000000001</v>
      </c>
      <c r="P15" s="159"/>
      <c r="Q15" s="170">
        <f>SUMPRODUCT(N5:N14,Q5:Q14)/N15</f>
        <v>23.322588575458209</v>
      </c>
      <c r="R15" s="159"/>
    </row>
    <row r="16" spans="1:18">
      <c r="C16" s="107"/>
    </row>
    <row r="17" spans="1:10" ht="17" thickBot="1"/>
    <row r="18" spans="1:10" ht="30" customHeight="1">
      <c r="A18" s="160"/>
      <c r="B18" s="161"/>
      <c r="C18" s="161"/>
      <c r="D18" s="162"/>
    </row>
    <row r="19" spans="1:10" ht="17" thickBot="1">
      <c r="A19" s="163">
        <f>SUMPRODUCT(N5:N14,Q5:Q14)/N15</f>
        <v>23.322588575458209</v>
      </c>
      <c r="B19" s="164">
        <f>SUMPRODUCT(N5:N14,R5:R14)/N15</f>
        <v>19.920770424541455</v>
      </c>
      <c r="C19" s="164">
        <f>SUM(A19+B19)</f>
        <v>43.243358999999664</v>
      </c>
      <c r="D19" s="165">
        <f>'4'!K22</f>
        <v>43.243359000000055</v>
      </c>
    </row>
    <row r="22" spans="1:10">
      <c r="A22" s="166" t="s">
        <v>50</v>
      </c>
      <c r="B22" s="166"/>
      <c r="C22" s="166"/>
      <c r="D22" s="166"/>
      <c r="E22" s="166"/>
      <c r="F22" s="166"/>
      <c r="G22" s="166"/>
      <c r="H22" s="166"/>
      <c r="I22" s="166"/>
      <c r="J22" s="166"/>
    </row>
    <row r="23" spans="1:10">
      <c r="A23" s="166"/>
      <c r="B23" s="166"/>
      <c r="C23" s="166"/>
      <c r="D23" s="166"/>
      <c r="E23" s="166"/>
      <c r="F23" s="166"/>
      <c r="G23" s="166"/>
      <c r="H23" s="166"/>
      <c r="I23" s="166"/>
      <c r="J23" s="166"/>
    </row>
  </sheetData>
  <mergeCells count="21">
    <mergeCell ref="A22:J23"/>
    <mergeCell ref="A12:B12"/>
    <mergeCell ref="A13:B13"/>
    <mergeCell ref="A15:B15"/>
    <mergeCell ref="P2:P3"/>
    <mergeCell ref="Q2:Q3"/>
    <mergeCell ref="R2:R3"/>
    <mergeCell ref="A6:B6"/>
    <mergeCell ref="A7:B7"/>
    <mergeCell ref="A8:B8"/>
    <mergeCell ref="A9:B9"/>
    <mergeCell ref="A10:B10"/>
    <mergeCell ref="A11:B11"/>
    <mergeCell ref="A14:B14"/>
    <mergeCell ref="A2:B3"/>
    <mergeCell ref="C2:C3"/>
    <mergeCell ref="N2:N3"/>
    <mergeCell ref="O2:O3"/>
    <mergeCell ref="A4:B4"/>
    <mergeCell ref="A5:B5"/>
    <mergeCell ref="A1:R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208F-94D5-B044-A67F-200E2297B8B3}">
  <dimension ref="A1:H8"/>
  <sheetViews>
    <sheetView zoomScale="144" zoomScaleNormal="144" workbookViewId="0">
      <selection activeCell="E19" sqref="E19"/>
    </sheetView>
  </sheetViews>
  <sheetFormatPr baseColWidth="10" defaultRowHeight="16"/>
  <cols>
    <col min="4" max="4" width="12.6640625" customWidth="1"/>
    <col min="8" max="8" width="12.1640625" customWidth="1"/>
  </cols>
  <sheetData>
    <row r="1" spans="1:8" ht="27" customHeight="1">
      <c r="A1" s="98" t="s">
        <v>16</v>
      </c>
      <c r="B1" s="99"/>
      <c r="D1" s="21"/>
      <c r="E1" s="21"/>
    </row>
    <row r="2" spans="1:8">
      <c r="A2" s="46"/>
      <c r="B2" s="34">
        <v>10</v>
      </c>
      <c r="D2" s="50">
        <f>(B4-B2)/(B2-1)*'11'!B19/'11'!A19</f>
        <v>18.031857676980366</v>
      </c>
      <c r="E2" s="50">
        <f>_xlfn.F.INV.RT(B3,B2-1,B4-B2)</f>
        <v>1.9294247566488121</v>
      </c>
    </row>
    <row r="3" spans="1:8">
      <c r="A3" s="105" t="s">
        <v>42</v>
      </c>
      <c r="B3" s="34">
        <v>0.05</v>
      </c>
    </row>
    <row r="4" spans="1:8">
      <c r="A4" s="105" t="s">
        <v>41</v>
      </c>
      <c r="B4" s="34">
        <v>200</v>
      </c>
    </row>
    <row r="7" spans="1:8">
      <c r="A7" s="174"/>
      <c r="B7" s="175" t="s">
        <v>51</v>
      </c>
      <c r="C7" s="175"/>
      <c r="D7" s="175"/>
      <c r="E7" s="175"/>
      <c r="F7" s="175"/>
      <c r="G7" s="175"/>
      <c r="H7" s="175"/>
    </row>
    <row r="8" spans="1:8">
      <c r="A8" s="174"/>
      <c r="B8" s="175"/>
      <c r="C8" s="175"/>
      <c r="D8" s="175"/>
      <c r="E8" s="175"/>
      <c r="F8" s="175"/>
      <c r="G8" s="175"/>
      <c r="H8" s="175"/>
    </row>
  </sheetData>
  <mergeCells count="3">
    <mergeCell ref="A1:B1"/>
    <mergeCell ref="A7:A8"/>
    <mergeCell ref="B7:H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E23E-696C-404B-B9C7-455C00C89427}">
  <dimension ref="A1:P30"/>
  <sheetViews>
    <sheetView topLeftCell="A16" zoomScale="150" zoomScaleNormal="125" workbookViewId="0">
      <selection activeCell="I23" sqref="I23"/>
    </sheetView>
  </sheetViews>
  <sheetFormatPr baseColWidth="10" defaultRowHeight="16"/>
  <cols>
    <col min="1" max="1" width="16" customWidth="1"/>
    <col min="2" max="2" width="15.33203125" customWidth="1"/>
  </cols>
  <sheetData>
    <row r="1" spans="1:15" ht="42" customHeight="1">
      <c r="A1" s="183" t="s">
        <v>52</v>
      </c>
      <c r="B1" s="183"/>
    </row>
    <row r="2" spans="1:15">
      <c r="A2" s="55">
        <f>SQRT('4'!D22)</f>
        <v>5.5605912455427404</v>
      </c>
      <c r="B2" s="55">
        <f>SQRT('4'!K22)</f>
        <v>6.5759682937191881</v>
      </c>
    </row>
    <row r="4" spans="1:15" ht="17" thickBot="1"/>
    <row r="5" spans="1:15">
      <c r="A5" s="176" t="s">
        <v>49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8"/>
    </row>
    <row r="6" spans="1:15">
      <c r="A6" s="149"/>
      <c r="B6" s="150"/>
      <c r="C6" s="143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55"/>
      <c r="O6" s="179"/>
    </row>
    <row r="7" spans="1:15">
      <c r="A7" s="122"/>
      <c r="B7" s="109"/>
      <c r="C7" s="142"/>
      <c r="D7" s="148" cm="1">
        <f t="array" ref="D7:M7">TRANSPOSE('4'!L9:L18)</f>
        <v>51.7</v>
      </c>
      <c r="E7" s="146">
        <v>55.099999999999994</v>
      </c>
      <c r="F7" s="146">
        <v>58.5</v>
      </c>
      <c r="G7" s="146">
        <v>61.899999999999991</v>
      </c>
      <c r="H7" s="146">
        <v>65.3</v>
      </c>
      <c r="I7" s="146">
        <v>68.7</v>
      </c>
      <c r="J7" s="146">
        <v>72.100000000000009</v>
      </c>
      <c r="K7" s="146">
        <v>75.500000000000014</v>
      </c>
      <c r="L7" s="146">
        <v>78.90000000000002</v>
      </c>
      <c r="M7" s="151">
        <v>82.300000000000026</v>
      </c>
      <c r="N7" s="59"/>
      <c r="O7" s="179"/>
    </row>
    <row r="8" spans="1:15">
      <c r="A8" s="140"/>
      <c r="B8" s="141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152"/>
      <c r="O8" s="180"/>
    </row>
    <row r="9" spans="1:15">
      <c r="A9" s="144">
        <f>'4'!E9</f>
        <v>157.55000000000001</v>
      </c>
      <c r="B9" s="145"/>
      <c r="C9" s="37"/>
      <c r="D9" s="117">
        <f>'10'!D5</f>
        <v>2</v>
      </c>
      <c r="E9" s="184">
        <f>'10'!E5</f>
        <v>1</v>
      </c>
      <c r="F9" s="184">
        <f>'10'!F5</f>
        <v>5</v>
      </c>
      <c r="G9" s="184">
        <f>'10'!G5</f>
        <v>1</v>
      </c>
      <c r="H9" s="184">
        <f>'10'!H5</f>
        <v>0</v>
      </c>
      <c r="I9" s="184">
        <f>'10'!I5</f>
        <v>0</v>
      </c>
      <c r="J9" s="184">
        <f>'10'!J5</f>
        <v>0</v>
      </c>
      <c r="K9" s="184">
        <f>'10'!K5</f>
        <v>0</v>
      </c>
      <c r="L9" s="184">
        <f>'10'!L5</f>
        <v>0</v>
      </c>
      <c r="M9" s="184">
        <f>'10'!M5</f>
        <v>0</v>
      </c>
      <c r="N9" s="173">
        <f t="shared" ref="N9:N19" si="0">SUM(D9:M9)</f>
        <v>9</v>
      </c>
      <c r="O9" s="181">
        <f>SUMPRODUCT(_xlfn.ANCHORARRAY($D$7),D9:M9)</f>
        <v>512.9</v>
      </c>
    </row>
    <row r="10" spans="1:15">
      <c r="A10" s="144">
        <f>'4'!E10</f>
        <v>160.64999999999998</v>
      </c>
      <c r="B10" s="145"/>
      <c r="C10" s="37"/>
      <c r="D10" s="184">
        <f>'10'!D6</f>
        <v>2</v>
      </c>
      <c r="E10" s="117">
        <f>'10'!E6</f>
        <v>4</v>
      </c>
      <c r="F10" s="184">
        <f>'10'!F6</f>
        <v>2</v>
      </c>
      <c r="G10" s="184">
        <f>'10'!G6</f>
        <v>2</v>
      </c>
      <c r="H10" s="184">
        <f>'10'!H6</f>
        <v>1</v>
      </c>
      <c r="I10" s="184">
        <f>'10'!I6</f>
        <v>0</v>
      </c>
      <c r="J10" s="184">
        <f>'10'!J6</f>
        <v>0</v>
      </c>
      <c r="K10" s="184">
        <f>'10'!K6</f>
        <v>0</v>
      </c>
      <c r="L10" s="184">
        <f>'10'!L6</f>
        <v>0</v>
      </c>
      <c r="M10" s="184">
        <f>'10'!M6</f>
        <v>0</v>
      </c>
      <c r="N10" s="173">
        <f t="shared" si="0"/>
        <v>11</v>
      </c>
      <c r="O10" s="181">
        <f t="shared" ref="O10:O18" si="1">SUMPRODUCT(_xlfn.ANCHORARRAY($D$7),D10:M10)</f>
        <v>629.89999999999986</v>
      </c>
    </row>
    <row r="11" spans="1:15">
      <c r="A11" s="144">
        <f>'4'!E11</f>
        <v>163.75</v>
      </c>
      <c r="B11" s="145"/>
      <c r="C11" s="37"/>
      <c r="D11" s="184">
        <f>'10'!D7</f>
        <v>0</v>
      </c>
      <c r="E11" s="184">
        <f>'10'!E7</f>
        <v>2</v>
      </c>
      <c r="F11" s="117">
        <f>'10'!F7</f>
        <v>7</v>
      </c>
      <c r="G11" s="184">
        <f>'10'!G7</f>
        <v>10</v>
      </c>
      <c r="H11" s="184">
        <f>'10'!H7</f>
        <v>6</v>
      </c>
      <c r="I11" s="184">
        <f>'10'!I7</f>
        <v>3</v>
      </c>
      <c r="J11" s="184">
        <f>'10'!J7</f>
        <v>0</v>
      </c>
      <c r="K11" s="184">
        <f>'10'!K7</f>
        <v>0</v>
      </c>
      <c r="L11" s="184">
        <f>'10'!L7</f>
        <v>0</v>
      </c>
      <c r="M11" s="184">
        <f>'10'!M7</f>
        <v>0</v>
      </c>
      <c r="N11" s="173">
        <f t="shared" si="0"/>
        <v>28</v>
      </c>
      <c r="O11" s="181">
        <f t="shared" si="1"/>
        <v>1736.6</v>
      </c>
    </row>
    <row r="12" spans="1:15">
      <c r="A12" s="144">
        <f>'4'!E12</f>
        <v>166.84999999999997</v>
      </c>
      <c r="B12" s="145"/>
      <c r="C12" s="37"/>
      <c r="D12" s="184">
        <f>'10'!D8</f>
        <v>2</v>
      </c>
      <c r="E12" s="184">
        <f>'10'!E8</f>
        <v>2</v>
      </c>
      <c r="F12" s="184">
        <f>'10'!F8</f>
        <v>6</v>
      </c>
      <c r="G12" s="117">
        <f>'10'!G8</f>
        <v>12</v>
      </c>
      <c r="H12" s="184">
        <f>'10'!H8</f>
        <v>4</v>
      </c>
      <c r="I12" s="184">
        <f>'10'!I8</f>
        <v>6</v>
      </c>
      <c r="J12" s="184">
        <f>'10'!J8</f>
        <v>1</v>
      </c>
      <c r="K12" s="184">
        <f>'10'!K8</f>
        <v>0</v>
      </c>
      <c r="L12" s="184">
        <f>'10'!L8</f>
        <v>2</v>
      </c>
      <c r="M12" s="184">
        <f>'10'!M8</f>
        <v>0</v>
      </c>
      <c r="N12" s="173">
        <f t="shared" si="0"/>
        <v>35</v>
      </c>
      <c r="O12" s="181">
        <f t="shared" si="1"/>
        <v>2210.7000000000003</v>
      </c>
    </row>
    <row r="13" spans="1:15">
      <c r="A13" s="144">
        <f>'4'!E13</f>
        <v>169.95</v>
      </c>
      <c r="B13" s="145"/>
      <c r="C13" s="37"/>
      <c r="D13" s="184">
        <f>'10'!D9</f>
        <v>0</v>
      </c>
      <c r="E13" s="184">
        <f>'10'!E9</f>
        <v>0</v>
      </c>
      <c r="F13" s="184">
        <f>'10'!F9</f>
        <v>5</v>
      </c>
      <c r="G13" s="184">
        <f>'10'!G9</f>
        <v>12</v>
      </c>
      <c r="H13" s="117">
        <f>'10'!H9</f>
        <v>15</v>
      </c>
      <c r="I13" s="184">
        <f>'10'!I9</f>
        <v>15</v>
      </c>
      <c r="J13" s="184">
        <f>'10'!J9</f>
        <v>3</v>
      </c>
      <c r="K13" s="184">
        <f>'10'!K9</f>
        <v>4</v>
      </c>
      <c r="L13" s="184">
        <f>'10'!L9</f>
        <v>0</v>
      </c>
      <c r="M13" s="184">
        <f>'10'!M9</f>
        <v>0</v>
      </c>
      <c r="N13" s="173">
        <f t="shared" si="0"/>
        <v>54</v>
      </c>
      <c r="O13" s="181">
        <f t="shared" si="1"/>
        <v>3563.6000000000004</v>
      </c>
    </row>
    <row r="14" spans="1:15">
      <c r="A14" s="144">
        <f>'4'!E14</f>
        <v>173.04999999999995</v>
      </c>
      <c r="B14" s="145"/>
      <c r="C14" s="37"/>
      <c r="D14" s="184">
        <f>'10'!D10</f>
        <v>0</v>
      </c>
      <c r="E14" s="184">
        <f>'10'!E10</f>
        <v>0</v>
      </c>
      <c r="F14" s="184">
        <f>'10'!F10</f>
        <v>0</v>
      </c>
      <c r="G14" s="184">
        <f>'10'!G10</f>
        <v>2</v>
      </c>
      <c r="H14" s="184">
        <f>'10'!H10</f>
        <v>9</v>
      </c>
      <c r="I14" s="117">
        <f>'10'!I10</f>
        <v>16</v>
      </c>
      <c r="J14" s="184">
        <f>'10'!J10</f>
        <v>1</v>
      </c>
      <c r="K14" s="184">
        <f>'10'!K10</f>
        <v>8</v>
      </c>
      <c r="L14" s="184">
        <f>'10'!L10</f>
        <v>1</v>
      </c>
      <c r="M14" s="184">
        <f>'10'!M10</f>
        <v>0</v>
      </c>
      <c r="N14" s="173">
        <f t="shared" si="0"/>
        <v>37</v>
      </c>
      <c r="O14" s="181">
        <f t="shared" si="1"/>
        <v>2565.6999999999998</v>
      </c>
    </row>
    <row r="15" spans="1:15">
      <c r="A15" s="144">
        <f>'4'!E15</f>
        <v>176.14999999999998</v>
      </c>
      <c r="B15" s="145"/>
      <c r="C15" s="37"/>
      <c r="D15" s="184">
        <f>'10'!D11</f>
        <v>0</v>
      </c>
      <c r="E15" s="184">
        <f>'10'!E11</f>
        <v>0</v>
      </c>
      <c r="F15" s="184">
        <f>'10'!F11</f>
        <v>1</v>
      </c>
      <c r="G15" s="184">
        <f>'10'!G11</f>
        <v>0</v>
      </c>
      <c r="H15" s="184">
        <f>'10'!H11</f>
        <v>0</v>
      </c>
      <c r="I15" s="184">
        <f>'10'!I11</f>
        <v>3</v>
      </c>
      <c r="J15" s="117">
        <f>'10'!J11</f>
        <v>3</v>
      </c>
      <c r="K15" s="184">
        <f>'10'!K11</f>
        <v>1</v>
      </c>
      <c r="L15" s="184">
        <f>'10'!L11</f>
        <v>2</v>
      </c>
      <c r="M15" s="184">
        <f>'10'!M11</f>
        <v>2</v>
      </c>
      <c r="N15" s="173">
        <f t="shared" si="0"/>
        <v>12</v>
      </c>
      <c r="O15" s="181">
        <f t="shared" si="1"/>
        <v>878.80000000000018</v>
      </c>
    </row>
    <row r="16" spans="1:15">
      <c r="A16" s="144">
        <f>'4'!E16</f>
        <v>179.24999999999994</v>
      </c>
      <c r="B16" s="145"/>
      <c r="C16" s="37"/>
      <c r="D16" s="184">
        <f>'10'!D12</f>
        <v>0</v>
      </c>
      <c r="E16" s="184">
        <f>'10'!E12</f>
        <v>0</v>
      </c>
      <c r="F16" s="184">
        <f>'10'!F12</f>
        <v>1</v>
      </c>
      <c r="G16" s="184">
        <f>'10'!G12</f>
        <v>1</v>
      </c>
      <c r="H16" s="184">
        <f>'10'!H12</f>
        <v>0</v>
      </c>
      <c r="I16" s="184">
        <f>'10'!I12</f>
        <v>2</v>
      </c>
      <c r="J16" s="184">
        <f>'10'!J12</f>
        <v>3</v>
      </c>
      <c r="K16" s="117">
        <f>'10'!K12</f>
        <v>2</v>
      </c>
      <c r="L16" s="184">
        <f>'10'!L12</f>
        <v>1</v>
      </c>
      <c r="M16" s="184">
        <f>'10'!M12</f>
        <v>0</v>
      </c>
      <c r="N16" s="173">
        <f t="shared" si="0"/>
        <v>10</v>
      </c>
      <c r="O16" s="181">
        <f t="shared" si="1"/>
        <v>704</v>
      </c>
    </row>
    <row r="17" spans="1:16">
      <c r="A17" s="144">
        <f>'4'!E17</f>
        <v>182.34999999999997</v>
      </c>
      <c r="B17" s="145"/>
      <c r="C17" s="37"/>
      <c r="D17" s="184">
        <f>'10'!D13</f>
        <v>0</v>
      </c>
      <c r="E17" s="184">
        <f>'10'!E13</f>
        <v>0</v>
      </c>
      <c r="F17" s="184">
        <f>'10'!F13</f>
        <v>0</v>
      </c>
      <c r="G17" s="184">
        <f>'10'!G13</f>
        <v>0</v>
      </c>
      <c r="H17" s="184">
        <f>'10'!H13</f>
        <v>1</v>
      </c>
      <c r="I17" s="184">
        <f>'10'!I13</f>
        <v>0</v>
      </c>
      <c r="J17" s="184">
        <f>'10'!J13</f>
        <v>0</v>
      </c>
      <c r="K17" s="184">
        <f>'10'!K13</f>
        <v>0</v>
      </c>
      <c r="L17" s="117">
        <f>'10'!L13</f>
        <v>0</v>
      </c>
      <c r="M17" s="184">
        <f>'10'!M13</f>
        <v>0</v>
      </c>
      <c r="N17" s="173">
        <f t="shared" si="0"/>
        <v>1</v>
      </c>
      <c r="O17" s="181">
        <f t="shared" si="1"/>
        <v>65.3</v>
      </c>
    </row>
    <row r="18" spans="1:16" ht="17" thickBot="1">
      <c r="A18" s="144">
        <f>'4'!E18</f>
        <v>185.44999999999993</v>
      </c>
      <c r="B18" s="145"/>
      <c r="C18" s="37"/>
      <c r="D18" s="184">
        <f>'10'!D14</f>
        <v>0</v>
      </c>
      <c r="E18" s="184">
        <f>'10'!E14</f>
        <v>0</v>
      </c>
      <c r="F18" s="184">
        <f>'10'!F14</f>
        <v>0</v>
      </c>
      <c r="G18" s="184">
        <f>'10'!G14</f>
        <v>0</v>
      </c>
      <c r="H18" s="184">
        <f>'10'!H14</f>
        <v>0</v>
      </c>
      <c r="I18" s="184">
        <f>'10'!I14</f>
        <v>0</v>
      </c>
      <c r="J18" s="184">
        <f>'10'!J14</f>
        <v>1</v>
      </c>
      <c r="K18" s="184">
        <f>'10'!K14</f>
        <v>0</v>
      </c>
      <c r="L18" s="184">
        <f>'10'!L14</f>
        <v>0</v>
      </c>
      <c r="M18" s="117">
        <f>'10'!M14</f>
        <v>2</v>
      </c>
      <c r="N18" s="173">
        <f t="shared" si="0"/>
        <v>3</v>
      </c>
      <c r="O18" s="185">
        <f t="shared" si="1"/>
        <v>236.70000000000005</v>
      </c>
    </row>
    <row r="19" spans="1:16" ht="17" thickBot="1">
      <c r="A19" s="187"/>
      <c r="B19" s="188"/>
      <c r="C19" s="167"/>
      <c r="D19" s="131">
        <f>SUM(D9:D18)</f>
        <v>6</v>
      </c>
      <c r="E19" s="132">
        <f t="shared" ref="E19:M19" si="2">SUM(E9:E18)</f>
        <v>9</v>
      </c>
      <c r="F19" s="132">
        <f t="shared" si="2"/>
        <v>27</v>
      </c>
      <c r="G19" s="132">
        <f t="shared" si="2"/>
        <v>40</v>
      </c>
      <c r="H19" s="132">
        <f t="shared" si="2"/>
        <v>36</v>
      </c>
      <c r="I19" s="132">
        <f t="shared" si="2"/>
        <v>45</v>
      </c>
      <c r="J19" s="132">
        <f t="shared" si="2"/>
        <v>12</v>
      </c>
      <c r="K19" s="132">
        <f t="shared" si="2"/>
        <v>15</v>
      </c>
      <c r="L19" s="132">
        <f t="shared" si="2"/>
        <v>6</v>
      </c>
      <c r="M19" s="132">
        <f t="shared" si="2"/>
        <v>4</v>
      </c>
      <c r="N19" s="133">
        <f>SUM(D19:M19)</f>
        <v>200</v>
      </c>
      <c r="O19" s="186">
        <f>SUMPRODUCT(O9:O18,A9:A18)/N19</f>
        <v>11108.243349999999</v>
      </c>
      <c r="P19" s="95"/>
    </row>
    <row r="20" spans="1:16" ht="30" customHeight="1" thickBot="1">
      <c r="A20" s="189"/>
      <c r="B20" s="190"/>
      <c r="C20" s="191">
        <f>(O19-'4'!D21*'4'!K21)/(A2*B2)</f>
        <v>0.64890878617426306</v>
      </c>
    </row>
    <row r="23" spans="1:16">
      <c r="A23" s="166" t="s">
        <v>66</v>
      </c>
      <c r="B23" s="166"/>
      <c r="C23" s="166"/>
      <c r="D23" s="166"/>
      <c r="E23" s="166"/>
      <c r="F23" s="166"/>
      <c r="G23" s="166"/>
    </row>
    <row r="24" spans="1:16">
      <c r="A24" s="166"/>
      <c r="B24" s="166"/>
      <c r="C24" s="166"/>
      <c r="D24" s="166"/>
      <c r="E24" s="166"/>
      <c r="F24" s="166"/>
      <c r="G24" s="166"/>
    </row>
    <row r="26" spans="1:16" ht="17" thickBot="1"/>
    <row r="27" spans="1:16">
      <c r="A27" s="192" t="s">
        <v>53</v>
      </c>
      <c r="B27" s="193"/>
    </row>
    <row r="28" spans="1:16" ht="33" customHeight="1">
      <c r="A28" s="194"/>
      <c r="B28" s="195">
        <f>(O19-'4'!D21*'4'!K21)/'4'!D22</f>
        <v>0.7674010577235405</v>
      </c>
    </row>
    <row r="29" spans="1:16">
      <c r="A29" s="194"/>
      <c r="B29" s="195">
        <f>'4'!K21-B28*'4'!D21</f>
        <v>-64.304073940379922</v>
      </c>
    </row>
    <row r="30" spans="1:16" ht="17" thickBot="1">
      <c r="A30" s="196"/>
      <c r="B30" s="197" t="s">
        <v>58</v>
      </c>
    </row>
  </sheetData>
  <mergeCells count="21">
    <mergeCell ref="A20:B20"/>
    <mergeCell ref="A23:G24"/>
    <mergeCell ref="A27:B27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:B1"/>
    <mergeCell ref="A5:O5"/>
    <mergeCell ref="A6:B7"/>
    <mergeCell ref="C6:C7"/>
    <mergeCell ref="N6:N7"/>
    <mergeCell ref="O6:O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54D7-0310-A34F-AE20-213AC99BDBBB}">
  <dimension ref="A1:B19"/>
  <sheetViews>
    <sheetView zoomScale="140" zoomScaleNormal="100" workbookViewId="0">
      <selection activeCell="B19" sqref="B19"/>
    </sheetView>
  </sheetViews>
  <sheetFormatPr baseColWidth="10" defaultRowHeight="16"/>
  <sheetData>
    <row r="1" spans="1:2">
      <c r="A1" s="200" t="s">
        <v>54</v>
      </c>
      <c r="B1" s="201" t="s">
        <v>36</v>
      </c>
    </row>
    <row r="2" spans="1:2">
      <c r="A2" s="202">
        <f>'1'!D2</f>
        <v>156</v>
      </c>
      <c r="B2" s="203">
        <f>'1'!E2</f>
        <v>50</v>
      </c>
    </row>
    <row r="3" spans="1:2">
      <c r="A3" s="202">
        <f>'4'!D21</f>
        <v>169.17499999999995</v>
      </c>
      <c r="B3" s="203">
        <f>'4'!K21</f>
        <v>65.521000000000001</v>
      </c>
    </row>
    <row r="4" spans="1:2" ht="17" thickBot="1">
      <c r="A4" s="204">
        <f>'1'!D201</f>
        <v>187</v>
      </c>
      <c r="B4" s="205">
        <f>'1'!E201</f>
        <v>84</v>
      </c>
    </row>
    <row r="5" spans="1:2">
      <c r="A5" s="11"/>
      <c r="B5" s="11"/>
    </row>
    <row r="6" spans="1:2">
      <c r="A6" s="11"/>
      <c r="B6" s="11"/>
    </row>
    <row r="7" spans="1:2" ht="17" thickBot="1">
      <c r="A7" s="11"/>
      <c r="B7" s="11"/>
    </row>
    <row r="8" spans="1:2">
      <c r="A8" s="176"/>
      <c r="B8" s="206"/>
    </row>
    <row r="9" spans="1:2">
      <c r="A9" s="207"/>
      <c r="B9" s="208"/>
    </row>
    <row r="10" spans="1:2">
      <c r="A10" s="209" cm="1">
        <f t="array" ref="A10:A19">'10'!A27:A36</f>
        <v>157.55000000000001</v>
      </c>
      <c r="B10" s="210">
        <f>'10'!O27</f>
        <v>56.988888888888887</v>
      </c>
    </row>
    <row r="11" spans="1:2">
      <c r="A11" s="209">
        <v>160.64999999999998</v>
      </c>
      <c r="B11" s="210">
        <f>'10'!O28</f>
        <v>57.263636363636351</v>
      </c>
    </row>
    <row r="12" spans="1:2">
      <c r="A12" s="209">
        <v>163.75</v>
      </c>
      <c r="B12" s="210">
        <f>'10'!O29</f>
        <v>62.021428571428565</v>
      </c>
    </row>
    <row r="13" spans="1:2">
      <c r="A13" s="209">
        <v>166.84999999999997</v>
      </c>
      <c r="B13" s="210">
        <f>'10'!O30</f>
        <v>63.162857142857149</v>
      </c>
    </row>
    <row r="14" spans="1:2">
      <c r="A14" s="209">
        <v>169.95</v>
      </c>
      <c r="B14" s="210">
        <f>'10'!O31</f>
        <v>65.992592592592601</v>
      </c>
    </row>
    <row r="15" spans="1:2">
      <c r="A15" s="209">
        <v>173.04999999999995</v>
      </c>
      <c r="B15" s="210">
        <f>'10'!O32</f>
        <v>69.343243243243236</v>
      </c>
    </row>
    <row r="16" spans="1:2">
      <c r="A16" s="209">
        <v>176.14999999999998</v>
      </c>
      <c r="B16" s="210">
        <f>'10'!O33</f>
        <v>73.233333333333348</v>
      </c>
    </row>
    <row r="17" spans="1:2">
      <c r="A17" s="209">
        <v>179.24999999999994</v>
      </c>
      <c r="B17" s="210">
        <f>'10'!O34</f>
        <v>70.400000000000006</v>
      </c>
    </row>
    <row r="18" spans="1:2">
      <c r="A18" s="209">
        <v>182.34999999999997</v>
      </c>
      <c r="B18" s="210">
        <f>'10'!O35</f>
        <v>65.3</v>
      </c>
    </row>
    <row r="19" spans="1:2" ht="17" thickBot="1">
      <c r="A19" s="211">
        <v>185.44999999999993</v>
      </c>
      <c r="B19" s="212">
        <f>'10'!O36</f>
        <v>78.90000000000002</v>
      </c>
    </row>
  </sheetData>
  <mergeCells count="2">
    <mergeCell ref="A8:A9"/>
    <mergeCell ref="B8:B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6692-4CC2-1444-8AAC-DDE20DBA1B25}">
  <dimension ref="A1:F7"/>
  <sheetViews>
    <sheetView zoomScale="169" workbookViewId="0">
      <selection activeCell="D3" sqref="D3"/>
    </sheetView>
  </sheetViews>
  <sheetFormatPr baseColWidth="10" defaultRowHeight="16"/>
  <cols>
    <col min="1" max="1" width="16.33203125" customWidth="1"/>
    <col min="2" max="2" width="12.33203125" customWidth="1"/>
  </cols>
  <sheetData>
    <row r="1" spans="1:6" ht="51" customHeight="1">
      <c r="A1" s="213" t="s">
        <v>55</v>
      </c>
      <c r="B1" s="214" t="s">
        <v>56</v>
      </c>
    </row>
    <row r="2" spans="1:6" ht="42" customHeight="1">
      <c r="A2" s="215"/>
      <c r="B2" s="216"/>
    </row>
    <row r="3" spans="1:6" ht="17" thickBot="1">
      <c r="A3" s="198">
        <f>SQRT('11'!B19/'11'!D19)</f>
        <v>0.67872423186494635</v>
      </c>
      <c r="B3" s="199">
        <f>'13'!C20</f>
        <v>0.64890878617426306</v>
      </c>
    </row>
    <row r="6" spans="1:6">
      <c r="A6" s="217" t="s">
        <v>57</v>
      </c>
      <c r="B6" s="217"/>
      <c r="C6" s="217"/>
      <c r="D6" s="217"/>
      <c r="E6" s="217"/>
      <c r="F6" s="217"/>
    </row>
    <row r="7" spans="1:6">
      <c r="A7" s="217"/>
      <c r="B7" s="217"/>
      <c r="C7" s="217"/>
      <c r="D7" s="217"/>
      <c r="E7" s="217"/>
      <c r="F7" s="217"/>
    </row>
  </sheetData>
  <mergeCells count="1">
    <mergeCell ref="A6:F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F0A-6D36-D04B-BBE1-2D5A8C640821}">
  <dimension ref="A1:I30"/>
  <sheetViews>
    <sheetView tabSelected="1" zoomScale="158" zoomScaleNormal="131" workbookViewId="0">
      <selection activeCell="C26" sqref="C26"/>
    </sheetView>
  </sheetViews>
  <sheetFormatPr baseColWidth="10" defaultRowHeight="16"/>
  <cols>
    <col min="1" max="2" width="15.83203125" customWidth="1"/>
    <col min="3" max="3" width="19.6640625" customWidth="1"/>
  </cols>
  <sheetData>
    <row r="1" spans="1:9">
      <c r="A1" s="218" t="s">
        <v>61</v>
      </c>
      <c r="B1" s="218"/>
    </row>
    <row r="2" spans="1:9">
      <c r="A2" s="219" cm="1">
        <f t="array" ref="A2:B6">LINEST('1'!C2:C201,'1'!B2:B201,1,1)</f>
        <v>0.77012040415631811</v>
      </c>
      <c r="B2" s="219">
        <v>-64.869832617602299</v>
      </c>
    </row>
    <row r="3" spans="1:9">
      <c r="A3" s="219">
        <v>6.2911700977109922E-2</v>
      </c>
      <c r="B3" s="219">
        <v>10.655705451717298</v>
      </c>
    </row>
    <row r="4" spans="1:9">
      <c r="A4" s="219">
        <v>0.43078781073129663</v>
      </c>
      <c r="B4" s="219">
        <v>4.9275386476473146</v>
      </c>
    </row>
    <row r="5" spans="1:9">
      <c r="A5" s="219">
        <v>149.84919180030371</v>
      </c>
      <c r="B5" s="219">
        <v>198</v>
      </c>
    </row>
    <row r="6" spans="1:9">
      <c r="A6" s="219">
        <v>3638.4338494365311</v>
      </c>
      <c r="B6" s="219">
        <v>4807.5661505634689</v>
      </c>
    </row>
    <row r="9" spans="1:9">
      <c r="A9" s="220" t="s">
        <v>59</v>
      </c>
      <c r="B9" s="220" t="s">
        <v>60</v>
      </c>
      <c r="C9" s="221"/>
      <c r="D9" s="221"/>
      <c r="E9" s="221"/>
      <c r="F9" s="221"/>
      <c r="G9" s="221"/>
      <c r="H9" s="221"/>
      <c r="I9" s="221"/>
    </row>
    <row r="10" spans="1:9">
      <c r="A10" s="33">
        <f>B2</f>
        <v>-64.869832617602299</v>
      </c>
      <c r="B10" s="33">
        <f>A2</f>
        <v>0.77012040415631811</v>
      </c>
      <c r="C10" s="33">
        <f>B3</f>
        <v>10.655705451717298</v>
      </c>
      <c r="D10" s="33">
        <f>A3</f>
        <v>6.2911700977109922E-2</v>
      </c>
      <c r="E10" s="33">
        <f>A4</f>
        <v>0.43078781073129663</v>
      </c>
      <c r="F10" s="33">
        <f>B4</f>
        <v>4.9275386476473146</v>
      </c>
      <c r="G10" s="33">
        <f>A5</f>
        <v>149.84919180030371</v>
      </c>
      <c r="H10" s="33">
        <f>A6/200</f>
        <v>18.192169247182655</v>
      </c>
      <c r="I10" s="33">
        <f>B6/200</f>
        <v>24.037830752817346</v>
      </c>
    </row>
    <row r="12" spans="1:9" ht="31">
      <c r="A12" s="222" t="s">
        <v>53</v>
      </c>
    </row>
    <row r="13" spans="1:9">
      <c r="A13" s="171"/>
    </row>
    <row r="15" spans="1:9" ht="17" thickBot="1"/>
    <row r="16" spans="1:9">
      <c r="A16" s="225" t="s">
        <v>62</v>
      </c>
      <c r="B16" s="226"/>
      <c r="C16" s="226"/>
      <c r="D16" s="226"/>
      <c r="E16" s="226"/>
      <c r="F16" s="227"/>
    </row>
    <row r="17" spans="1:6" ht="38" customHeight="1">
      <c r="A17" s="228"/>
      <c r="B17" s="223" t="s">
        <v>63</v>
      </c>
      <c r="C17" s="224"/>
      <c r="D17" s="224"/>
      <c r="E17" s="224"/>
      <c r="F17" s="229"/>
    </row>
    <row r="18" spans="1:6" ht="17" thickBot="1">
      <c r="A18" s="211">
        <v>180</v>
      </c>
      <c r="B18" s="230">
        <f>B10*A18+A10</f>
        <v>73.751840130534958</v>
      </c>
      <c r="C18" s="230">
        <f>F10*(SQRT(1+1/200+(A18-'4'!D21)^2/(200*'4'!D22)))</f>
        <v>4.9861940930804112</v>
      </c>
      <c r="D18" s="230">
        <f>_xlfn.T.INV.2T(0.05,B5)</f>
        <v>1.9720174778363073</v>
      </c>
      <c r="E18" s="230">
        <f>B18-C18*D18</f>
        <v>63.918978231096233</v>
      </c>
      <c r="F18" s="212">
        <f>B18+C18*D18</f>
        <v>83.584702029973684</v>
      </c>
    </row>
    <row r="20" spans="1:6" ht="17" thickBot="1"/>
    <row r="21" spans="1:6">
      <c r="A21" s="232" t="s">
        <v>64</v>
      </c>
      <c r="B21" s="233"/>
      <c r="C21" s="233"/>
      <c r="D21" s="234"/>
    </row>
    <row r="22" spans="1:6" ht="18" customHeight="1">
      <c r="A22" s="235"/>
      <c r="B22" s="231"/>
      <c r="C22" s="231"/>
      <c r="D22" s="236"/>
    </row>
    <row r="23" spans="1:6" ht="17" thickBot="1">
      <c r="A23" s="237">
        <f>A10-D18*C10</f>
        <v>-85.883070007064433</v>
      </c>
      <c r="B23" s="238">
        <f>A10+D18*C10</f>
        <v>-43.856595228140165</v>
      </c>
      <c r="C23" s="238">
        <f>B10-D18*D10</f>
        <v>0.64605743026904583</v>
      </c>
      <c r="D23" s="239">
        <f>B10+D18*D10</f>
        <v>0.89418337804359038</v>
      </c>
    </row>
    <row r="25" spans="1:6" ht="17" thickBot="1"/>
    <row r="26" spans="1:6">
      <c r="A26" s="240"/>
    </row>
    <row r="27" spans="1:6" ht="17" thickBot="1">
      <c r="A27" s="241">
        <f>_xlfn.F.INV.RT(0.05,1,B5)</f>
        <v>3.8888529328918917</v>
      </c>
    </row>
    <row r="28" spans="1:6" ht="17" thickBot="1"/>
    <row r="29" spans="1:6">
      <c r="A29" s="242"/>
      <c r="B29" s="243" t="s">
        <v>65</v>
      </c>
      <c r="C29" s="243"/>
      <c r="D29" s="243"/>
      <c r="E29" s="243"/>
      <c r="F29" s="244"/>
    </row>
    <row r="30" spans="1:6" ht="17" thickBot="1">
      <c r="A30" s="245"/>
      <c r="B30" s="246"/>
      <c r="C30" s="246"/>
      <c r="D30" s="246"/>
      <c r="E30" s="246"/>
      <c r="F30" s="247"/>
    </row>
  </sheetData>
  <mergeCells count="5">
    <mergeCell ref="A1:B1"/>
    <mergeCell ref="A16:F16"/>
    <mergeCell ref="A21:D21"/>
    <mergeCell ref="A29:A30"/>
    <mergeCell ref="B29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vitaliyx269@gmail.com</dc:creator>
  <cp:lastModifiedBy>vitaliyx269@gmail.com</cp:lastModifiedBy>
  <dcterms:created xsi:type="dcterms:W3CDTF">2024-11-27T15:43:50Z</dcterms:created>
  <dcterms:modified xsi:type="dcterms:W3CDTF">2024-12-01T18:36:03Z</dcterms:modified>
</cp:coreProperties>
</file>